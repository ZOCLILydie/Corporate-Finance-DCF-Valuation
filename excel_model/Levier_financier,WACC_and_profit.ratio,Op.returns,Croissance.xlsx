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C:\Users\lydie\OneDrive\Bureau\M2 Modélisation Financière\Corporate Finance\Group_Project_25janvier\"/>
    </mc:Choice>
  </mc:AlternateContent>
  <xr:revisionPtr revIDLastSave="0" documentId="13_ncr:1_{0773127C-94CD-4EFE-A1E5-4F73A13BA981}" xr6:coauthVersionLast="47" xr6:coauthVersionMax="47" xr10:uidLastSave="{00000000-0000-0000-0000-000000000000}"/>
  <bookViews>
    <workbookView xWindow="-108" yWindow="-108" windowWidth="23256" windowHeight="12456" firstSheet="6" activeTab="9" xr2:uid="{D7221F25-CBBC-B942-95B4-2024FA5ED7C7}"/>
  </bookViews>
  <sheets>
    <sheet name="CR" sheetId="1" r:id="rId1"/>
    <sheet name="Bilan" sheetId="2" r:id="rId2"/>
    <sheet name="Ratio" sheetId="3" r:id="rId3"/>
    <sheet name="Liquidity" sheetId="20" r:id="rId4"/>
    <sheet name="Cout dette" sheetId="4" r:id="rId5"/>
    <sheet name="Structure dette" sheetId="5" r:id="rId6"/>
    <sheet name="WACC" sheetId="9" r:id="rId7"/>
    <sheet name="3-year average annual return" sheetId="10" r:id="rId8"/>
    <sheet name="ProfitRatios and OpReturns" sheetId="15" r:id="rId9"/>
    <sheet name="DCF &amp; Sentivity" sheetId="17" r:id="rId10"/>
    <sheet name="Feuil1" sheetId="21" r:id="rId11"/>
    <sheet name="Feuil2" sheetId="22"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5" i="17" l="1"/>
  <c r="N34" i="17"/>
  <c r="P34" i="17"/>
  <c r="P27" i="17" s="1"/>
  <c r="P29" i="17" s="1"/>
  <c r="O34" i="17"/>
  <c r="O27" i="17" s="1"/>
  <c r="O29" i="17" s="1"/>
  <c r="P24" i="17"/>
  <c r="O24" i="17"/>
  <c r="N24" i="17"/>
  <c r="O22" i="17"/>
  <c r="P22" i="17" s="1"/>
  <c r="Q22" i="17" s="1"/>
  <c r="R22" i="17" s="1"/>
  <c r="S22" i="17" s="1"/>
  <c r="T22" i="17" s="1"/>
  <c r="U22" i="17" s="1"/>
  <c r="V22" i="17" s="1"/>
  <c r="P21" i="17"/>
  <c r="O21" i="17"/>
  <c r="N21" i="17"/>
  <c r="P15" i="17"/>
  <c r="O15" i="17"/>
  <c r="N15" i="17"/>
  <c r="P18" i="17"/>
  <c r="O18" i="17"/>
  <c r="N18" i="17"/>
  <c r="P12" i="17"/>
  <c r="O12" i="17"/>
  <c r="N12" i="17"/>
  <c r="N29" i="17" l="1"/>
  <c r="V10" i="17" l="1"/>
  <c r="O3" i="17"/>
  <c r="P9" i="17"/>
  <c r="O9" i="17"/>
  <c r="N9" i="17"/>
  <c r="N25" i="17" l="1"/>
  <c r="N13" i="17"/>
  <c r="N35" i="17"/>
  <c r="N19" i="17"/>
  <c r="N16" i="17"/>
  <c r="O10" i="17"/>
  <c r="O16" i="17"/>
  <c r="O19" i="17"/>
  <c r="O25" i="17"/>
  <c r="O13" i="17"/>
  <c r="O35" i="17"/>
  <c r="P10" i="17"/>
  <c r="P16" i="17"/>
  <c r="P19" i="17"/>
  <c r="P25" i="17"/>
  <c r="P13" i="17"/>
  <c r="Q13" i="17" s="1"/>
  <c r="R13" i="17" s="1"/>
  <c r="S13" i="17" s="1"/>
  <c r="T13" i="17" s="1"/>
  <c r="U13" i="17" s="1"/>
  <c r="V13" i="17" s="1"/>
  <c r="P35" i="17"/>
  <c r="V32" i="17"/>
  <c r="U32" i="17"/>
  <c r="T32" i="17"/>
  <c r="S32" i="17"/>
  <c r="R32" i="17"/>
  <c r="Q32" i="17"/>
  <c r="P32" i="17"/>
  <c r="P31" i="17"/>
  <c r="Q10" i="17" l="1"/>
  <c r="Q16" i="17"/>
  <c r="R16" i="17" s="1"/>
  <c r="S16" i="17" s="1"/>
  <c r="T16" i="17" s="1"/>
  <c r="U16" i="17" s="1"/>
  <c r="V16" i="17" s="1"/>
  <c r="Q19" i="17"/>
  <c r="R19" i="17" s="1"/>
  <c r="S19" i="17" s="1"/>
  <c r="T19" i="17" s="1"/>
  <c r="U19" i="17" s="1"/>
  <c r="V19" i="17" s="1"/>
  <c r="Q35" i="17"/>
  <c r="R35" i="17" s="1"/>
  <c r="S35" i="17" s="1"/>
  <c r="T35" i="17" s="1"/>
  <c r="U35" i="17" s="1"/>
  <c r="V35" i="17" s="1"/>
  <c r="Q25" i="17"/>
  <c r="R25" i="17" s="1"/>
  <c r="S25" i="17" s="1"/>
  <c r="T25" i="17" s="1"/>
  <c r="U25" i="17" s="1"/>
  <c r="V25" i="17" s="1"/>
  <c r="G63" i="17"/>
  <c r="G64" i="17" s="1"/>
  <c r="I37" i="17"/>
  <c r="I38" i="17" s="1"/>
  <c r="I39" i="17" s="1"/>
  <c r="K38" i="17" s="1"/>
  <c r="J48" i="17"/>
  <c r="J64" i="17" s="1"/>
  <c r="C5" i="20"/>
  <c r="D5" i="20"/>
  <c r="B5" i="20"/>
  <c r="C4" i="20"/>
  <c r="D4" i="20"/>
  <c r="B4" i="20"/>
  <c r="C3" i="20"/>
  <c r="D3" i="20"/>
  <c r="B3" i="20"/>
  <c r="M127" i="17"/>
  <c r="K127" i="17"/>
  <c r="M126" i="17"/>
  <c r="K126" i="17"/>
  <c r="M125" i="17"/>
  <c r="K125" i="17"/>
  <c r="M124" i="17"/>
  <c r="K124" i="17"/>
  <c r="M123" i="17"/>
  <c r="K123" i="17"/>
  <c r="M122" i="17"/>
  <c r="K122" i="17"/>
  <c r="L115" i="17"/>
  <c r="L114" i="17"/>
  <c r="L113" i="17"/>
  <c r="L112" i="17"/>
  <c r="L111" i="17"/>
  <c r="N99" i="17"/>
  <c r="L99" i="17"/>
  <c r="J99" i="17"/>
  <c r="I103" i="17" s="1"/>
  <c r="N98" i="17"/>
  <c r="L98" i="17"/>
  <c r="I102" i="17" s="1"/>
  <c r="N97" i="17"/>
  <c r="L97" i="17"/>
  <c r="J97" i="17"/>
  <c r="I101" i="17" s="1"/>
  <c r="L94" i="17"/>
  <c r="J94" i="17"/>
  <c r="K94" i="17" s="1"/>
  <c r="I94" i="17"/>
  <c r="L93" i="17"/>
  <c r="J93" i="17"/>
  <c r="K93" i="17" s="1"/>
  <c r="I93" i="17"/>
  <c r="L92" i="17"/>
  <c r="J92" i="17"/>
  <c r="K92" i="17" s="1"/>
  <c r="I92" i="17"/>
  <c r="K91" i="17"/>
  <c r="K90" i="17"/>
  <c r="K89" i="17"/>
  <c r="O78" i="17"/>
  <c r="Q78" i="17" s="1"/>
  <c r="I66" i="17"/>
  <c r="J5" i="17"/>
  <c r="J4" i="17"/>
  <c r="K5" i="17" s="1"/>
  <c r="I7" i="17" s="1"/>
  <c r="D3" i="15"/>
  <c r="D5" i="15"/>
  <c r="L21" i="2"/>
  <c r="M21" i="2"/>
  <c r="N21" i="2"/>
  <c r="L10" i="2"/>
  <c r="M10" i="2"/>
  <c r="K10" i="2"/>
  <c r="F5" i="15"/>
  <c r="E5" i="15"/>
  <c r="F4" i="15"/>
  <c r="E4" i="15"/>
  <c r="D4" i="15"/>
  <c r="F3" i="15"/>
  <c r="E3" i="15"/>
  <c r="C4" i="9"/>
  <c r="C38" i="10"/>
  <c r="C37" i="10"/>
  <c r="C36" i="10"/>
  <c r="C35" i="10"/>
  <c r="C34" i="10"/>
  <c r="C33" i="10"/>
  <c r="C32" i="10"/>
  <c r="C31" i="10"/>
  <c r="C30" i="10"/>
  <c r="C29" i="10"/>
  <c r="C28" i="10"/>
  <c r="C27" i="10"/>
  <c r="C26" i="10"/>
  <c r="C25" i="10"/>
  <c r="C24" i="10"/>
  <c r="C23" i="10"/>
  <c r="C22" i="10"/>
  <c r="C21" i="10"/>
  <c r="C20" i="10"/>
  <c r="C19" i="10"/>
  <c r="C18" i="10"/>
  <c r="C17" i="10"/>
  <c r="C16" i="10"/>
  <c r="C15" i="10"/>
  <c r="C14" i="10"/>
  <c r="C13" i="10"/>
  <c r="C12" i="10"/>
  <c r="C11" i="10"/>
  <c r="C10" i="10"/>
  <c r="C9" i="10"/>
  <c r="C8" i="10"/>
  <c r="C7" i="10"/>
  <c r="C6" i="10"/>
  <c r="C5" i="10"/>
  <c r="C4" i="10"/>
  <c r="C3" i="10"/>
  <c r="C13" i="9"/>
  <c r="C16" i="9" s="1"/>
  <c r="C3" i="9"/>
  <c r="D31" i="5"/>
  <c r="D32" i="5" s="1"/>
  <c r="C31" i="5"/>
  <c r="C32" i="5" s="1"/>
  <c r="B31" i="5"/>
  <c r="B32" i="5" s="1"/>
  <c r="D15" i="5"/>
  <c r="D16" i="5"/>
  <c r="D17" i="5"/>
  <c r="D14" i="5"/>
  <c r="C15" i="5"/>
  <c r="C16" i="5"/>
  <c r="C17" i="5"/>
  <c r="C14" i="5"/>
  <c r="B15" i="5"/>
  <c r="B16" i="5"/>
  <c r="B17" i="5"/>
  <c r="B14" i="5"/>
  <c r="F7" i="4"/>
  <c r="C4" i="4"/>
  <c r="B4" i="4"/>
  <c r="D4" i="4"/>
  <c r="C6" i="9" s="1"/>
  <c r="C9" i="9" s="1"/>
  <c r="J62" i="17" l="1"/>
  <c r="J63" i="17"/>
  <c r="I8" i="17"/>
  <c r="I9" i="17" s="1"/>
  <c r="R10" i="17"/>
  <c r="S10" i="17" s="1"/>
  <c r="T10" i="17" s="1"/>
  <c r="U10" i="17" s="1"/>
  <c r="Q9" i="17"/>
  <c r="G2" i="10"/>
  <c r="D11" i="15"/>
  <c r="E11" i="15"/>
  <c r="D13" i="15"/>
  <c r="E13" i="15"/>
  <c r="D12" i="15"/>
  <c r="E12" i="15"/>
  <c r="L66" i="17"/>
  <c r="I81" i="17" s="1"/>
  <c r="C15" i="9"/>
  <c r="C8" i="9"/>
  <c r="F2" i="10"/>
  <c r="F4" i="4"/>
  <c r="C10" i="4" s="1"/>
  <c r="Q34" i="17" l="1"/>
  <c r="Q27" i="17" s="1"/>
  <c r="R9" i="17"/>
  <c r="Q24" i="17"/>
  <c r="Q12" i="17"/>
  <c r="Q15" i="17"/>
  <c r="Q18" i="17"/>
  <c r="H2" i="10"/>
  <c r="D3" i="10"/>
  <c r="D4" i="10"/>
  <c r="D5" i="10"/>
  <c r="D6" i="10"/>
  <c r="D7" i="10"/>
  <c r="D8" i="10"/>
  <c r="D9" i="10"/>
  <c r="D10" i="10"/>
  <c r="D11" i="10"/>
  <c r="D12" i="10"/>
  <c r="D13" i="10"/>
  <c r="D14" i="10"/>
  <c r="D15" i="10"/>
  <c r="D16" i="10"/>
  <c r="D17" i="10"/>
  <c r="D18" i="10"/>
  <c r="D19" i="10"/>
  <c r="D20" i="10"/>
  <c r="D21" i="10"/>
  <c r="D22" i="10"/>
  <c r="D23" i="10"/>
  <c r="D24" i="10"/>
  <c r="D25" i="10"/>
  <c r="D26" i="10"/>
  <c r="D27" i="10"/>
  <c r="D28" i="10"/>
  <c r="D29" i="10"/>
  <c r="D30" i="10"/>
  <c r="D31" i="10"/>
  <c r="D32" i="10"/>
  <c r="D33" i="10"/>
  <c r="D34" i="10"/>
  <c r="D35" i="10"/>
  <c r="D36" i="10"/>
  <c r="D37" i="10"/>
  <c r="D38" i="10"/>
  <c r="C18" i="9"/>
  <c r="D5" i="3"/>
  <c r="C5" i="3"/>
  <c r="B5" i="3"/>
  <c r="H3" i="3" s="1"/>
  <c r="I2" i="2"/>
  <c r="J2" i="2"/>
  <c r="H2" i="2"/>
  <c r="I8" i="1"/>
  <c r="H8" i="1"/>
  <c r="G8" i="1"/>
  <c r="Q21" i="17" l="1"/>
  <c r="Q29" i="17"/>
  <c r="Q31" i="17" s="1"/>
  <c r="S9" i="17"/>
  <c r="R24" i="17"/>
  <c r="R34" i="17"/>
  <c r="R27" i="17" s="1"/>
  <c r="R15" i="17"/>
  <c r="R18" i="17"/>
  <c r="R12" i="17"/>
  <c r="I2" i="3"/>
  <c r="I3" i="3"/>
  <c r="J2" i="3"/>
  <c r="J3" i="3"/>
  <c r="B8" i="3"/>
  <c r="C8" i="3"/>
  <c r="D8" i="3"/>
  <c r="H2" i="3"/>
  <c r="R21" i="17" l="1"/>
  <c r="R29" i="17" s="1"/>
  <c r="R31" i="17" s="1"/>
  <c r="T9" i="17"/>
  <c r="S34" i="17"/>
  <c r="S27" i="17" s="1"/>
  <c r="S24" i="17"/>
  <c r="S15" i="17"/>
  <c r="S18" i="17"/>
  <c r="S12" i="17"/>
  <c r="S21" i="17" l="1"/>
  <c r="S29" i="17" s="1"/>
  <c r="S31" i="17" s="1"/>
  <c r="U9" i="17"/>
  <c r="T34" i="17"/>
  <c r="T27" i="17" s="1"/>
  <c r="T24" i="17"/>
  <c r="T18" i="17"/>
  <c r="T15" i="17"/>
  <c r="T12" i="17"/>
  <c r="T21" i="17" l="1"/>
  <c r="T29" i="17" s="1"/>
  <c r="T31" i="17" s="1"/>
  <c r="V9" i="17"/>
  <c r="U34" i="17"/>
  <c r="U27" i="17" s="1"/>
  <c r="U24" i="17"/>
  <c r="U15" i="17"/>
  <c r="U18" i="17"/>
  <c r="U12" i="17"/>
  <c r="U21" i="17" l="1"/>
  <c r="U29" i="17" s="1"/>
  <c r="U31" i="17" s="1"/>
  <c r="V34" i="17"/>
  <c r="V27" i="17" s="1"/>
  <c r="V18" i="17"/>
  <c r="V15" i="17"/>
  <c r="V24" i="17"/>
  <c r="V12" i="17"/>
  <c r="V21" i="17" l="1"/>
  <c r="V29" i="17" s="1"/>
  <c r="V31" i="17" s="1"/>
  <c r="V2" i="17" l="1"/>
  <c r="V1" i="17"/>
  <c r="V4" i="17" l="1"/>
  <c r="V6" i="17" l="1"/>
  <c r="N57" i="17"/>
  <c r="N47" i="1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simey hin</author>
    <author>tc={A5F7ED28-66C1-4441-B76D-9A5B05156516}</author>
    <author>tc={ABB11591-E4F3-40AC-9CD6-651C6BBEFCC0}</author>
    <author>tc={D0276AF6-A4F6-41D8-B73E-9A7996FEE9F7}</author>
    <author>tc={3C29BB83-4A34-4793-8E8F-E59A822C9746}</author>
    <author>tc={EA99CF79-0861-4C03-A7E4-5D370B30D3B3}</author>
  </authors>
  <commentList>
    <comment ref="E2" authorId="0" shapeId="0" xr:uid="{649D0F8E-302E-4B5A-AF8C-26EF11C18490}">
      <text>
        <r>
          <rPr>
            <b/>
            <sz val="9"/>
            <color indexed="81"/>
            <rFont val="Tahoma"/>
            <family val="2"/>
          </rPr>
          <t>Prof's instruction:</t>
        </r>
        <r>
          <rPr>
            <sz val="9"/>
            <color indexed="81"/>
            <rFont val="Tahoma"/>
            <family val="2"/>
          </rPr>
          <t xml:space="preserve">
For the cost of capital : estimate cost of equity based on the CAPM formula with a market return equal to the index 3-years average annual return (computed monthly) &amp; estimate the average cost of debt by comparing financial debt to interest expenses. Use beta from any financial information website. Use the book value of debt and market value of equity to estimate the weights used to compute the WACC.</t>
        </r>
      </text>
    </comment>
    <comment ref="C3" authorId="1" shapeId="0" xr:uid="{A5F7ED28-66C1-4441-B76D-9A5B05156516}">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Market Cap (23/12/2024, 13:44 yahoo finance)
</t>
      </text>
    </comment>
    <comment ref="C7" authorId="2" shapeId="0" xr:uid="{ABB11591-E4F3-40AC-9CD6-651C6BBEFCC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France Corporate Tax rate
https://entreprendre.service-public.fr/vosdroits/F23575?lang=en</t>
      </text>
    </comment>
    <comment ref="C11" authorId="3" shapeId="0" xr:uid="{D0276AF6-A4F6-41D8-B73E-9A7996FEE9F7}">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German 10 Y bond yield 12/23/2024 13:30
</t>
      </text>
    </comment>
    <comment ref="C12" authorId="4" shapeId="0" xr:uid="{3C29BB83-4A34-4793-8E8F-E59A822C9746}">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Calculate by 3 year historical price from yahoo finance 1/1/2021-1/12/2023</t>
      </text>
    </comment>
    <comment ref="C14" authorId="5" shapeId="0" xr:uid="{EA99CF79-0861-4C03-A7E4-5D370B30D3B3}">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Beta (5Y Monthly) Yahoo finance 23/12/2024 , 1:39 
https://finance.yahoo.com/quote/SAN.PA/key-statistics/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simey hin</author>
    <author>tc={6F77AC28-860D-40F2-903C-C6241B597208}</author>
  </authors>
  <commentList>
    <comment ref="Q10" authorId="0" shapeId="0" xr:uid="{9A2622EB-A017-40C3-AF11-921988CD9BD0}">
      <text>
        <r>
          <rPr>
            <b/>
            <sz val="9"/>
            <color indexed="81"/>
            <rFont val="Tahoma"/>
            <family val="2"/>
          </rPr>
          <t>simey hin:</t>
        </r>
        <r>
          <rPr>
            <sz val="9"/>
            <color indexed="81"/>
            <rFont val="Tahoma"/>
            <family val="2"/>
          </rPr>
          <t xml:space="preserve">
Croissance Moyenne</t>
        </r>
      </text>
    </comment>
    <comment ref="N22" authorId="1" shapeId="0" xr:uid="{6F77AC28-860D-40F2-903C-C6241B597208}">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France Corporate Tax rate
https://entreprendre.service-public.fr/vosdroits/F23575?lang=en</t>
      </text>
    </comment>
  </commentList>
</comments>
</file>

<file path=xl/sharedStrings.xml><?xml version="1.0" encoding="utf-8"?>
<sst xmlns="http://schemas.openxmlformats.org/spreadsheetml/2006/main" count="335" uniqueCount="258">
  <si>
    <t>(€ million)</t>
  </si>
  <si>
    <t xml:space="preserve">Net sales </t>
  </si>
  <si>
    <t xml:space="preserve">Other revenues </t>
  </si>
  <si>
    <t xml:space="preserve">Cost of sales </t>
  </si>
  <si>
    <t xml:space="preserve">Gross profit </t>
  </si>
  <si>
    <t xml:space="preserve">Research and development expenses </t>
  </si>
  <si>
    <t xml:space="preserve">Selling and general expenses </t>
  </si>
  <si>
    <t>EBITDA</t>
  </si>
  <si>
    <t xml:space="preserve">Other operating income </t>
  </si>
  <si>
    <t xml:space="preserve">Other operating expenses </t>
  </si>
  <si>
    <t xml:space="preserve">Amortization of intangible assets </t>
  </si>
  <si>
    <t xml:space="preserve">Impairment of intangible assets </t>
  </si>
  <si>
    <t xml:space="preserve">Fair value remeasurement of contingent consideration </t>
  </si>
  <si>
    <t xml:space="preserve">Restructuring costs and similar items </t>
  </si>
  <si>
    <t xml:space="preserve">Other gains and losses, and litigation </t>
  </si>
  <si>
    <t xml:space="preserve">Operating income </t>
  </si>
  <si>
    <t xml:space="preserve">Financial expenses </t>
  </si>
  <si>
    <t xml:space="preserve">Financial income </t>
  </si>
  <si>
    <t xml:space="preserve">Income before tax and investments accounted for using the equity method </t>
  </si>
  <si>
    <t xml:space="preserve">Income tax expense </t>
  </si>
  <si>
    <t xml:space="preserve">Share of profit/loss from investments accounted for usingthe equity method </t>
  </si>
  <si>
    <t xml:space="preserve">Net income </t>
  </si>
  <si>
    <t xml:space="preserve">Net income attributable to non-controlling interests </t>
  </si>
  <si>
    <t xml:space="preserve">Net income attributable to equity holders of Sanofi </t>
  </si>
  <si>
    <t xml:space="preserve">Average number of shares outstanding (million) </t>
  </si>
  <si>
    <t xml:space="preserve">Average number of shares after dilution (million) </t>
  </si>
  <si>
    <t>Basic earnings per share (€)</t>
  </si>
  <si>
    <t>Diluted earnings per share (€)</t>
  </si>
  <si>
    <t xml:space="preserve">(€ million) </t>
  </si>
  <si>
    <t>Fond Propres</t>
  </si>
  <si>
    <t>ASSETS</t>
  </si>
  <si>
    <t xml:space="preserve">Property, plant and equipment </t>
  </si>
  <si>
    <t xml:space="preserve">Right-of-use assets </t>
  </si>
  <si>
    <t xml:space="preserve">Goodwill </t>
  </si>
  <si>
    <t xml:space="preserve">Other intangible assets </t>
  </si>
  <si>
    <t xml:space="preserve">Investments accounted for using the equity method </t>
  </si>
  <si>
    <t xml:space="preserve">Other non-current assets </t>
  </si>
  <si>
    <t>Non-current income tax assets</t>
  </si>
  <si>
    <t>Book value of equity</t>
  </si>
  <si>
    <t xml:space="preserve">Deferred tax assets </t>
  </si>
  <si>
    <t>Non-current assets</t>
  </si>
  <si>
    <t xml:space="preserve">Inventories </t>
  </si>
  <si>
    <t xml:space="preserve">Accounts receivable </t>
  </si>
  <si>
    <t xml:space="preserve">Other current assets </t>
  </si>
  <si>
    <t>Current income tax assets</t>
  </si>
  <si>
    <t xml:space="preserve">Cash and cash equivalents </t>
  </si>
  <si>
    <t>Current assets</t>
  </si>
  <si>
    <t xml:space="preserve">Assets held for sale or exchange </t>
  </si>
  <si>
    <t>Total Assets</t>
  </si>
  <si>
    <t xml:space="preserve">LIABILITIES </t>
  </si>
  <si>
    <t>Net debt</t>
  </si>
  <si>
    <t xml:space="preserve">Equity attributable to equity holders of Sanofi </t>
  </si>
  <si>
    <t xml:space="preserve">Equity attributable to non-controlling interests </t>
  </si>
  <si>
    <t xml:space="preserve">Total equity </t>
  </si>
  <si>
    <t xml:space="preserve">Long-term debt </t>
  </si>
  <si>
    <t xml:space="preserve">Non-current lease liabilities </t>
  </si>
  <si>
    <t xml:space="preserve">Non-current liabilities related to business combinations and to non-controlling interests </t>
  </si>
  <si>
    <t xml:space="preserve">Non-current provisions and other non-current liabilities </t>
  </si>
  <si>
    <t xml:space="preserve">Non-current income tax liabilities </t>
  </si>
  <si>
    <t xml:space="preserve">Deffered tax liabilities </t>
  </si>
  <si>
    <t xml:space="preserve">Non-current liabilities </t>
  </si>
  <si>
    <t xml:space="preserve">Accounts payable </t>
  </si>
  <si>
    <t xml:space="preserve">Current liabilities related to business combinations and to non-controlling interests </t>
  </si>
  <si>
    <t xml:space="preserve">Current provisions and other current liabilities </t>
  </si>
  <si>
    <t xml:space="preserve">Current income tax liabilities </t>
  </si>
  <si>
    <t xml:space="preserve">Current lease liabilities </t>
  </si>
  <si>
    <t xml:space="preserve">Short-term debt and current portion of long-term debt </t>
  </si>
  <si>
    <t xml:space="preserve">Current liabilities </t>
  </si>
  <si>
    <t xml:space="preserve">Liabilities related to assets held for sale or exchange </t>
  </si>
  <si>
    <t xml:space="preserve">Total equity and liabilities </t>
  </si>
  <si>
    <t>(millions €)</t>
  </si>
  <si>
    <t>Emprunts à long terme</t>
  </si>
  <si>
    <t>Ratio Dette / EBITDA</t>
  </si>
  <si>
    <t>Emprunts à court terme et part à court terme de la dette à long terme</t>
  </si>
  <si>
    <t>Ratio Dette / Fonds propres</t>
  </si>
  <si>
    <t>Instruments dérivés de taux et de change dédiés à la gestion de la dette financière</t>
  </si>
  <si>
    <t>Total dette financière</t>
  </si>
  <si>
    <t>Trésorerie et équivalents de trésorerie</t>
  </si>
  <si>
    <t>Instruments dérivés de taux et de change dédiés à la gestion de la trésorerie et des équivalents de trésorerie</t>
  </si>
  <si>
    <t>Dette financière nette</t>
  </si>
  <si>
    <t>Liquidity ratio</t>
  </si>
  <si>
    <t>Année</t>
  </si>
  <si>
    <t>Le current ratio mesure la capacité d'une entreprise à payer ses dettes à court terme avec ses actifs courants. En ce qui concerne Sanofi, ce ratio  est en diminution chaque année. Cela signifie que Sanofi dispose de moins en moins d'actifs courants pour couvrir ses passifs courants. Bien que la baisse soit une tendance préoccupante , le current ratio reste supérieur à 1. Cela indique que Sanofi a encore suffisamment de ressources pour honorer ses obligations à court terme.
Le quick ratio mesure la capacité d'une entreprise à payer ses dettes à court terme avec ses actifs les plus liquides. Après une légère amélioration en 2022, le ratio diminue en 2023 (0,70856411). Cela montre que Sanofi ne pourrait pas couvrir toutes ses dettes à court terme si elle devait exclure les stocks. De plus ce ratio étant inférieur à 1 signifie qu'il existe un risque potentiel si les passifs courants augmentaient soudainement.
Le cash ratio, qui évalue la capacité de Sanofi à couvrir ses dettes à court terme uniquement avec la trésorerie et les équivalents de trésorerie, diminue fortement en 2023 (0,36). Cela signifie que Sanofi dispose de seulement 36 % de ses passifs courants en trésorerie disponible.
Cette baisse peut indiquer une réduction des liquidités disponibles ou une gestion plus agressive des liquidités.</t>
  </si>
  <si>
    <t>Current ratio</t>
  </si>
  <si>
    <t>Quick ratio</t>
  </si>
  <si>
    <t>Cash ratio</t>
  </si>
  <si>
    <t>(Millions €)</t>
  </si>
  <si>
    <t>Cout dette financière</t>
  </si>
  <si>
    <t>Dette financière</t>
  </si>
  <si>
    <t xml:space="preserve">Cout Moyen Dette </t>
  </si>
  <si>
    <t>Cout d'emprunt</t>
  </si>
  <si>
    <t>Taux effectif d'imposition sur le résulat</t>
  </si>
  <si>
    <t>Taux Moyen Imposition</t>
  </si>
  <si>
    <t>Cout dette nette moyen (Kd)</t>
  </si>
  <si>
    <t>2021</t>
  </si>
  <si>
    <t>2022</t>
  </si>
  <si>
    <t>2023</t>
  </si>
  <si>
    <t>(en millions d’euros)</t>
  </si>
  <si>
    <t>Non courant</t>
  </si>
  <si>
    <t>Courant</t>
  </si>
  <si>
    <t>Total</t>
  </si>
  <si>
    <t>Emprunts obligataires</t>
  </si>
  <si>
    <t>Autres emprunts bancaires</t>
  </si>
  <si>
    <t>Autres emprunts</t>
  </si>
  <si>
    <t>Banques créditrices</t>
  </si>
  <si>
    <t>Total dette financière valeur de remboursement</t>
  </si>
  <si>
    <t xml:space="preserve">Cout amortissement </t>
  </si>
  <si>
    <t>Total dette financière valeur de bilan</t>
  </si>
  <si>
    <t xml:space="preserve">% Répartition par types de financement </t>
  </si>
  <si>
    <t>Autres</t>
  </si>
  <si>
    <t xml:space="preserve">% Réparticipation par date de terme de financement </t>
  </si>
  <si>
    <t>Court Terme (1 ans)</t>
  </si>
  <si>
    <t>Long Terme (Supérieur à 1 an)</t>
  </si>
  <si>
    <t>Weighted Average Cost of Capital (WACC)</t>
  </si>
  <si>
    <t>Equity (Market Cap)</t>
  </si>
  <si>
    <t>Debt</t>
  </si>
  <si>
    <t>Cost of Debt</t>
  </si>
  <si>
    <t>Tax Rate</t>
  </si>
  <si>
    <t>D/(D+E)</t>
  </si>
  <si>
    <t>After Tax Cost of Debt</t>
  </si>
  <si>
    <t>Risk Free Rate (German Gov 10 Year Bond)</t>
  </si>
  <si>
    <t>Expected Market Return (3-year average annual return)</t>
  </si>
  <si>
    <t>Market Risk Premium</t>
  </si>
  <si>
    <t>Beta (5Y Monthly)</t>
  </si>
  <si>
    <t>E/(D+E)</t>
  </si>
  <si>
    <t>Cost of Equity</t>
  </si>
  <si>
    <t>WACC</t>
  </si>
  <si>
    <t>Sensitivity Table</t>
  </si>
  <si>
    <t>Growth Rate</t>
  </si>
  <si>
    <t>EQ</t>
  </si>
  <si>
    <t>Date</t>
  </si>
  <si>
    <t>Adjusted Price</t>
  </si>
  <si>
    <t>Return</t>
  </si>
  <si>
    <t>Excess Return</t>
  </si>
  <si>
    <t>Mean</t>
  </si>
  <si>
    <t>SD</t>
  </si>
  <si>
    <t>3-year Average Annual Return</t>
  </si>
  <si>
    <t>Sources: https://finance.yahoo.com/quote/SAN.PA/history/?frequency=1mo&amp;period1=1577183868&amp;period2=1735036662</t>
  </si>
  <si>
    <t xml:space="preserve">                                                                      Profitability Ratios </t>
  </si>
  <si>
    <t>Year</t>
  </si>
  <si>
    <t>Gross Margin</t>
  </si>
  <si>
    <t>Operating Margin</t>
  </si>
  <si>
    <t>Net Profit Margin</t>
  </si>
  <si>
    <t>Operating Returns</t>
  </si>
  <si>
    <t>ROA</t>
  </si>
  <si>
    <t>ROE</t>
  </si>
  <si>
    <t>I/ Les Prévisions sur 3 ans</t>
  </si>
  <si>
    <t>Net Sales</t>
  </si>
  <si>
    <t>Croissance annuelle</t>
  </si>
  <si>
    <t>Croissance Moyenne</t>
  </si>
  <si>
    <t>Revenus Prévus</t>
  </si>
  <si>
    <t>1)</t>
  </si>
  <si>
    <t>Récupération des données</t>
  </si>
  <si>
    <t>2)</t>
  </si>
  <si>
    <t>Le taux de croissance est calculé pour chaque année comme suit:</t>
  </si>
  <si>
    <t>Croissance annuelle (%) = (Revenu actuel -Revenu précédent)/ Revenu précédent</t>
  </si>
  <si>
    <t>3)</t>
  </si>
  <si>
    <t>Calcul de la croissance moyenne</t>
  </si>
  <si>
    <t>Pour estimer la croissance future, nous utilisons la moyenne des taux historiques</t>
  </si>
  <si>
    <t>Croissance moyenne (%) = (Croissance 2022 + Croissance 2023)/2</t>
  </si>
  <si>
    <t>Cette moyenne est utilisée comme hypothèse réaliste pour les projections.</t>
  </si>
  <si>
    <t>4)</t>
  </si>
  <si>
    <t>Projection des revenus futurs</t>
  </si>
  <si>
    <t>Les revenus futurs sont calculés en appliquant la croissance moyenne à chaque année. La formule est :</t>
  </si>
  <si>
    <t>Revenu futur = Revenu précédent×(1+Croissance moyenne)</t>
  </si>
  <si>
    <t xml:space="preserve">II/  Appliquer une croissance perpétuelle de 2 % </t>
  </si>
  <si>
    <r>
      <t xml:space="preserve">Prenons le revenu estimé pour la dernière année des prévisions (dans notre cas, </t>
    </r>
    <r>
      <rPr>
        <b/>
        <sz val="11"/>
        <color theme="1"/>
        <rFont val="Aptos Display"/>
        <family val="2"/>
        <scheme val="major"/>
      </rPr>
      <t>2026 : 52789 M€</t>
    </r>
    <r>
      <rPr>
        <sz val="11"/>
        <color theme="1"/>
        <rFont val="Aptos Display"/>
        <family val="2"/>
        <scheme val="major"/>
      </rPr>
      <t>).</t>
    </r>
  </si>
  <si>
    <t>Appliquons la croissance perpétuelle</t>
  </si>
  <si>
    <t>Utilisons la formule suivante pour calculer les revenus pour chaque année après 2026 :</t>
  </si>
  <si>
    <t>VP</t>
  </si>
  <si>
    <t>Calcul de la valeur perpétuelle</t>
  </si>
  <si>
    <r>
      <t xml:space="preserve">La </t>
    </r>
    <r>
      <rPr>
        <b/>
        <sz val="11"/>
        <color theme="1"/>
        <rFont val="Aptos Display"/>
        <family val="2"/>
        <scheme val="major"/>
      </rPr>
      <t>valeur perpétuelle</t>
    </r>
    <r>
      <rPr>
        <sz val="11"/>
        <color theme="1"/>
        <rFont val="Aptos Display"/>
        <family val="2"/>
        <scheme val="major"/>
      </rPr>
      <t xml:space="preserve"> est une estimation de la somme des revenus futurs actualisés après la période de prévisions (au-delà de 2026). Elle est calculée à l'aide de la formule suivante :</t>
    </r>
  </si>
  <si>
    <t>Valeur Perpétuelle (VP) = (Revenu dernier * (1+ Croissance perpétuelle)) / (Taux d'actualisation - Croissance Perpétuelle)</t>
  </si>
  <si>
    <r>
      <t>Revenu dernier</t>
    </r>
    <r>
      <rPr>
        <sz val="11"/>
        <color theme="1"/>
        <rFont val="Aptos Display"/>
        <family val="2"/>
        <scheme val="major"/>
      </rPr>
      <t xml:space="preserve"> : Revenu de la dernière année des prévisions (2026 : 52789 M€).</t>
    </r>
  </si>
  <si>
    <r>
      <t>Croissance perpétuelle</t>
    </r>
    <r>
      <rPr>
        <sz val="11"/>
        <color theme="1"/>
        <rFont val="Aptos Display"/>
        <family val="2"/>
        <scheme val="major"/>
      </rPr>
      <t xml:space="preserve"> : g=0.02 (2 %)</t>
    </r>
  </si>
  <si>
    <r>
      <t>Taux d'actualisation</t>
    </r>
    <r>
      <rPr>
        <sz val="11"/>
        <color theme="1"/>
        <rFont val="Aptos Display"/>
        <family val="2"/>
        <scheme val="major"/>
      </rPr>
      <t xml:space="preserve"> : r, WACC=6,52%</t>
    </r>
  </si>
  <si>
    <t>III/  EV et EQ</t>
  </si>
  <si>
    <r>
      <t>Valeur de l’Entreprise (EV)</t>
    </r>
    <r>
      <rPr>
        <sz val="11"/>
        <color theme="1"/>
        <rFont val="Aptos Display"/>
        <family val="2"/>
        <scheme val="major"/>
      </rPr>
      <t xml:space="preserve"> :</t>
    </r>
  </si>
  <si>
    <t>Représente la valeur totale de l'entreprise (inclut les dettes et les capitaux propres).</t>
  </si>
  <si>
    <r>
      <t>Formule</t>
    </r>
    <r>
      <rPr>
        <sz val="11"/>
        <color theme="1"/>
        <rFont val="Aptos Display"/>
        <family val="2"/>
        <scheme val="major"/>
      </rPr>
      <t xml:space="preserve"> : EV=Valeur perpétuelle (VP) + Valeur des prévisions actualisées</t>
    </r>
  </si>
  <si>
    <r>
      <t>Revenu dernier</t>
    </r>
    <r>
      <rPr>
        <sz val="11"/>
        <color theme="1"/>
        <rFont val="Aptos Display"/>
        <family val="2"/>
        <scheme val="major"/>
      </rPr>
      <t xml:space="preserve"> (2026) : 52789M€</t>
    </r>
  </si>
  <si>
    <r>
      <t>Croissance perpétuelle (g)</t>
    </r>
    <r>
      <rPr>
        <sz val="11"/>
        <color theme="1"/>
        <rFont val="Aptos Display"/>
        <family val="2"/>
        <scheme val="major"/>
      </rPr>
      <t xml:space="preserve"> : 0.02</t>
    </r>
    <r>
      <rPr>
        <sz val="11"/>
        <color theme="1"/>
        <rFont val="Aptos Display"/>
        <family val="2"/>
        <scheme val="major"/>
      </rPr>
      <t>(2%)</t>
    </r>
  </si>
  <si>
    <r>
      <t>Taux d’actualisation (r)</t>
    </r>
    <r>
      <rPr>
        <sz val="11"/>
        <color theme="1"/>
        <rFont val="Aptos Display"/>
        <family val="2"/>
        <scheme val="major"/>
      </rPr>
      <t xml:space="preserve"> : WACC=6,52%</t>
    </r>
  </si>
  <si>
    <t>a)</t>
  </si>
  <si>
    <t>Prévision actualisée</t>
  </si>
  <si>
    <t>EV</t>
  </si>
  <si>
    <t>b)</t>
  </si>
  <si>
    <t>Actualisation des prévisions sur 3 ans</t>
  </si>
  <si>
    <t>Les flux prévus pour les années 2024-2026 doivent être actualisés au taux r=6,52%=WACC</t>
  </si>
  <si>
    <t>Prévisions actualisées = Somme{t allant de 1à3}{Revenu_t/(1+r)^t}</t>
  </si>
  <si>
    <t>c)</t>
  </si>
  <si>
    <r>
      <t>EV</t>
    </r>
    <r>
      <rPr>
        <sz val="11"/>
        <color theme="1"/>
        <rFont val="Aptos Display"/>
        <family val="2"/>
        <scheme val="major"/>
      </rPr>
      <t>=VP+Valeur actuelle des prévisions</t>
    </r>
  </si>
  <si>
    <t xml:space="preserve">2) </t>
  </si>
  <si>
    <t>Capitaux Propres EQ:</t>
  </si>
  <si>
    <t>Vu que la dette nette reste contante, prenons celle de 2023 (celle de la dernière année dsiponible)</t>
  </si>
  <si>
    <t>En soustrayant la dette nette de 2023 (Dette nette=7682M€) :</t>
  </si>
  <si>
    <t>Long-term debt</t>
  </si>
  <si>
    <t>Short-term debt and current long-term debt</t>
  </si>
  <si>
    <t>Total debt</t>
  </si>
  <si>
    <t>Cash an Cash equivalents</t>
  </si>
  <si>
    <t>Dette Nette</t>
  </si>
  <si>
    <t>EQ=EV−Dette nette</t>
  </si>
  <si>
    <t>IV/ Maintenir une structure stable pour les coûts et les marges dans les hypothèses.</t>
  </si>
  <si>
    <t>Revenus (€)</t>
  </si>
  <si>
    <t>Coût des Ventes(€)</t>
  </si>
  <si>
    <t>Marge Brute(€)</t>
  </si>
  <si>
    <t>Marge Brute(%)</t>
  </si>
  <si>
    <t>Marge Opérationnelle(€)      / R&amp;D</t>
  </si>
  <si>
    <t>Coût des ventes en %</t>
  </si>
  <si>
    <t>Marge Brute en %</t>
  </si>
  <si>
    <t>Marge Opérationnelle en %</t>
  </si>
  <si>
    <t>Ratio moyen (coût des ventes)</t>
  </si>
  <si>
    <t>en %</t>
  </si>
  <si>
    <t>Ratio moyen (Marge Brute)</t>
  </si>
  <si>
    <t>Ratio moyen (Marge Opérationnelle)</t>
  </si>
  <si>
    <t>A vérifier</t>
  </si>
  <si>
    <t>V/ Tableau Comparatif</t>
  </si>
  <si>
    <t>Revenus Passés (€)</t>
  </si>
  <si>
    <t>Revenus Prévus (€)</t>
  </si>
  <si>
    <t>Croissance Annuelle(%)</t>
  </si>
  <si>
    <t>Croissance Sectorielle (%)</t>
  </si>
  <si>
    <t>Ecart (%)</t>
  </si>
  <si>
    <t>VI/ Graphique Pour Visualisation</t>
  </si>
  <si>
    <t>Revenus Passés (€) et Prévus (€)</t>
  </si>
  <si>
    <t>B2B (%)</t>
  </si>
  <si>
    <t>Revenus B2B (€)</t>
  </si>
  <si>
    <t>B2C (%)</t>
  </si>
  <si>
    <t>Revenus B2C (€)</t>
  </si>
  <si>
    <t>Terminal Value</t>
  </si>
  <si>
    <t>EBIT</t>
  </si>
  <si>
    <t>EBIT Margin</t>
  </si>
  <si>
    <t>Revenue Growth</t>
  </si>
  <si>
    <t>EBITDA Margin</t>
  </si>
  <si>
    <t>D&amp;A</t>
  </si>
  <si>
    <t>In % of revenue</t>
  </si>
  <si>
    <t>Corporate tax (IS)</t>
  </si>
  <si>
    <t>Corporate tax rate</t>
  </si>
  <si>
    <t>EBIT * Tax Rate</t>
  </si>
  <si>
    <t>projected revenue * EBIT margin</t>
  </si>
  <si>
    <t>Investment</t>
  </si>
  <si>
    <t>% of revenue</t>
  </si>
  <si>
    <t>(WCR variation)</t>
  </si>
  <si>
    <t>WCR</t>
  </si>
  <si>
    <t>Free Cash Flow</t>
  </si>
  <si>
    <t xml:space="preserve">Discounted Free cash flow </t>
  </si>
  <si>
    <t>Discount factor</t>
  </si>
  <si>
    <t>Sum of Discounted FCF</t>
  </si>
  <si>
    <t>Discounted Terminal value</t>
  </si>
  <si>
    <t>Enterprise Value (EV)</t>
  </si>
  <si>
    <t>(Net debt)</t>
  </si>
  <si>
    <t>Equity Value (EQ)</t>
  </si>
  <si>
    <t>2021 A</t>
  </si>
  <si>
    <t>2022 A</t>
  </si>
  <si>
    <t>2023 A</t>
  </si>
  <si>
    <t>2024 E</t>
  </si>
  <si>
    <t>2025 E</t>
  </si>
  <si>
    <t>2026 E</t>
  </si>
  <si>
    <t>2027 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</si>
</sst>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 #,##0.00_);_(* \(#,##0.00\);_(* &quot;-&quot;??_);_(@_)"/>
    <numFmt numFmtId="165" formatCode="0.0000"/>
    <numFmt numFmtId="166" formatCode="_(* #,##0_);_(* \(#,##0\);_(* &quot;-&quot;??_);_(@_)"/>
    <numFmt numFmtId="167" formatCode="0.000000"/>
    <numFmt numFmtId="168" formatCode="0.0%"/>
    <numFmt numFmtId="169" formatCode="_-* #,##0_-;\-* #,##0_-;_-* &quot;-&quot;??_-;_-@_-"/>
  </numFmts>
  <fonts count="37" x14ac:knownFonts="1">
    <font>
      <sz val="12"/>
      <color theme="1"/>
      <name val="Aptos Narrow"/>
      <family val="2"/>
      <scheme val="minor"/>
    </font>
    <font>
      <sz val="11"/>
      <color theme="1"/>
      <name val="Aptos Narrow"/>
      <family val="2"/>
      <scheme val="minor"/>
    </font>
    <font>
      <sz val="11"/>
      <color theme="1"/>
      <name val="Aptos Narrow"/>
      <family val="2"/>
      <scheme val="minor"/>
    </font>
    <font>
      <sz val="12"/>
      <color theme="1"/>
      <name val="Aptos Narrow"/>
      <family val="2"/>
      <scheme val="minor"/>
    </font>
    <font>
      <sz val="12"/>
      <color rgb="FF9C0006"/>
      <name val="Aptos Narrow"/>
      <family val="2"/>
      <scheme val="minor"/>
    </font>
    <font>
      <b/>
      <sz val="12"/>
      <color rgb="FF3F3F3F"/>
      <name val="Aptos Narrow"/>
      <family val="2"/>
      <scheme val="minor"/>
    </font>
    <font>
      <b/>
      <sz val="11"/>
      <color theme="0"/>
      <name val="Aptos Narrow"/>
      <family val="2"/>
      <scheme val="minor"/>
    </font>
    <font>
      <sz val="11"/>
      <color rgb="FF000000"/>
      <name val="Cambria"/>
      <family val="1"/>
    </font>
    <font>
      <sz val="8"/>
      <color rgb="FF212529"/>
      <name val="Arial"/>
      <family val="2"/>
    </font>
    <font>
      <sz val="9"/>
      <color indexed="81"/>
      <name val="Tahoma"/>
      <family val="2"/>
    </font>
    <font>
      <sz val="12"/>
      <color rgb="FF0070C0"/>
      <name val="Aptos Narrow"/>
      <family val="2"/>
      <scheme val="minor"/>
    </font>
    <font>
      <b/>
      <sz val="12"/>
      <color theme="1"/>
      <name val="Aptos Narrow"/>
      <family val="2"/>
      <scheme val="minor"/>
    </font>
    <font>
      <b/>
      <sz val="12"/>
      <color theme="0"/>
      <name val="Aptos Narrow"/>
      <family val="2"/>
      <scheme val="minor"/>
    </font>
    <font>
      <b/>
      <sz val="9"/>
      <color indexed="81"/>
      <name val="Tahoma"/>
      <family val="2"/>
    </font>
    <font>
      <sz val="12"/>
      <color theme="0"/>
      <name val="Calibri"/>
      <family val="2"/>
    </font>
    <font>
      <sz val="12"/>
      <color rgb="FF9C5700"/>
      <name val="Aptos Narrow"/>
      <family val="2"/>
      <scheme val="minor"/>
    </font>
    <font>
      <sz val="11"/>
      <color theme="1"/>
      <name val="Aptos Display"/>
      <family val="2"/>
      <scheme val="major"/>
    </font>
    <font>
      <sz val="11"/>
      <color rgb="FFFF0000"/>
      <name val="Aptos Display"/>
      <family val="2"/>
      <scheme val="major"/>
    </font>
    <font>
      <sz val="11"/>
      <color theme="9"/>
      <name val="Aptos Display"/>
      <family val="2"/>
      <scheme val="major"/>
    </font>
    <font>
      <sz val="11"/>
      <color rgb="FFC00000"/>
      <name val="Aptos Display"/>
      <family val="2"/>
      <scheme val="major"/>
    </font>
    <font>
      <b/>
      <sz val="11"/>
      <color theme="1"/>
      <name val="Aptos Display"/>
      <family val="2"/>
      <scheme val="major"/>
    </font>
    <font>
      <u/>
      <sz val="11"/>
      <color theme="10"/>
      <name val="Aptos Display"/>
      <family val="2"/>
      <scheme val="major"/>
    </font>
    <font>
      <sz val="11"/>
      <color theme="1"/>
      <name val="Aptos Display"/>
      <family val="2"/>
      <scheme val="major"/>
    </font>
    <font>
      <i/>
      <sz val="12"/>
      <color theme="1"/>
      <name val="Aptos Narrow"/>
      <family val="2"/>
      <scheme val="minor"/>
    </font>
    <font>
      <i/>
      <sz val="11"/>
      <color theme="1"/>
      <name val="Aptos Display"/>
      <family val="2"/>
      <scheme val="major"/>
    </font>
    <font>
      <i/>
      <sz val="12"/>
      <color rgb="FF00B0F0"/>
      <name val="Aptos Narrow"/>
      <family val="2"/>
      <scheme val="minor"/>
    </font>
    <font>
      <b/>
      <i/>
      <sz val="11"/>
      <color theme="1"/>
      <name val="Aptos Display"/>
      <family val="2"/>
      <scheme val="major"/>
    </font>
    <font>
      <i/>
      <sz val="12"/>
      <color rgb="FF0070C0"/>
      <name val="Aptos Narrow"/>
      <family val="2"/>
      <scheme val="minor"/>
    </font>
    <font>
      <i/>
      <sz val="11"/>
      <color rgb="FF00B0F0"/>
      <name val="Aptos Display"/>
      <family val="2"/>
      <scheme val="major"/>
    </font>
    <font>
      <i/>
      <sz val="11"/>
      <color theme="2" tint="-0.499984740745262"/>
      <name val="Aptos Display"/>
      <family val="2"/>
      <scheme val="major"/>
    </font>
    <font>
      <b/>
      <sz val="11"/>
      <color theme="0"/>
      <name val="Aptos Display"/>
      <family val="2"/>
      <scheme val="major"/>
    </font>
    <font>
      <sz val="11"/>
      <name val="Aptos Display"/>
      <family val="2"/>
      <scheme val="major"/>
    </font>
    <font>
      <sz val="11"/>
      <color theme="0"/>
      <name val="Aptos Display"/>
      <family val="2"/>
      <scheme val="major"/>
    </font>
    <font>
      <sz val="11"/>
      <color rgb="FF000000"/>
      <name val="Aptos Display"/>
      <family val="2"/>
    </font>
    <font>
      <b/>
      <sz val="12"/>
      <color rgb="FF000000"/>
      <name val="Aptos Narrow"/>
      <family val="2"/>
      <scheme val="minor"/>
    </font>
    <font>
      <b/>
      <sz val="11"/>
      <color rgb="FF000000"/>
      <name val="Aptos Display"/>
      <family val="2"/>
    </font>
    <font>
      <sz val="12"/>
      <color rgb="FF000000"/>
      <name val="Aptos Narrow"/>
      <family val="2"/>
      <scheme val="minor"/>
    </font>
  </fonts>
  <fills count="37">
    <fill>
      <patternFill patternType="none"/>
    </fill>
    <fill>
      <patternFill patternType="gray125"/>
    </fill>
    <fill>
      <patternFill patternType="solid">
        <fgColor rgb="FFFFC7CE"/>
      </patternFill>
    </fill>
    <fill>
      <patternFill patternType="solid">
        <fgColor rgb="FFF2F2F2"/>
      </patternFill>
    </fill>
    <fill>
      <patternFill patternType="solid">
        <fgColor rgb="FFFFFFCC"/>
      </patternFill>
    </fill>
    <fill>
      <patternFill patternType="solid">
        <fgColor theme="4" tint="0.79998168889431442"/>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499984740745262"/>
        <bgColor indexed="64"/>
      </patternFill>
    </fill>
    <fill>
      <patternFill patternType="solid">
        <fgColor theme="5" tint="0.79998168889431442"/>
        <bgColor indexed="64"/>
      </patternFill>
    </fill>
    <fill>
      <patternFill patternType="solid">
        <fgColor rgb="FFD9E2F3"/>
        <bgColor rgb="FFD9E2F3"/>
      </patternFill>
    </fill>
    <fill>
      <patternFill patternType="solid">
        <fgColor theme="3" tint="9.9978637043366805E-2"/>
        <bgColor rgb="FF2A3E68"/>
      </patternFill>
    </fill>
    <fill>
      <patternFill patternType="solid">
        <fgColor theme="3" tint="9.9978637043366805E-2"/>
        <bgColor indexed="64"/>
      </patternFill>
    </fill>
    <fill>
      <patternFill patternType="solid">
        <fgColor theme="5" tint="0.79998168889431442"/>
        <bgColor rgb="FF2A3E68"/>
      </patternFill>
    </fill>
    <fill>
      <patternFill patternType="solid">
        <fgColor theme="6" tint="0.59999389629810485"/>
        <bgColor indexed="64"/>
      </patternFill>
    </fill>
    <fill>
      <patternFill patternType="solid">
        <fgColor theme="1" tint="0.249977111117893"/>
        <bgColor indexed="64"/>
      </patternFill>
    </fill>
    <fill>
      <patternFill patternType="solid">
        <fgColor theme="0"/>
        <bgColor indexed="64"/>
      </patternFill>
    </fill>
    <fill>
      <patternFill patternType="solid">
        <fgColor theme="5"/>
        <bgColor indexed="64"/>
      </patternFill>
    </fill>
    <fill>
      <patternFill patternType="solid">
        <fgColor rgb="FFFF0000"/>
        <bgColor indexed="64"/>
      </patternFill>
    </fill>
    <fill>
      <patternFill patternType="solid">
        <fgColor rgb="FF00B050"/>
        <bgColor indexed="64"/>
      </patternFill>
    </fill>
    <fill>
      <patternFill patternType="solid">
        <fgColor theme="3" tint="0.249977111117893"/>
        <bgColor indexed="64"/>
      </patternFill>
    </fill>
    <fill>
      <patternFill patternType="solid">
        <fgColor rgb="FF0070C0"/>
        <bgColor indexed="64"/>
      </patternFill>
    </fill>
    <fill>
      <patternFill patternType="solid">
        <fgColor theme="9"/>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rgb="FFFFC000"/>
        <bgColor indexed="64"/>
      </patternFill>
    </fill>
    <fill>
      <patternFill patternType="solid">
        <fgColor rgb="FFE97132"/>
        <bgColor rgb="FF000000"/>
      </patternFill>
    </fill>
    <fill>
      <patternFill patternType="solid">
        <fgColor rgb="FFF2CEEF"/>
        <bgColor rgb="FF000000"/>
      </patternFill>
    </fill>
    <fill>
      <patternFill patternType="solid">
        <fgColor rgb="FFF7C7AC"/>
        <bgColor rgb="FF000000"/>
      </patternFill>
    </fill>
  </fills>
  <borders count="13">
    <border>
      <left/>
      <right/>
      <top/>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indexed="64"/>
      </top>
      <bottom style="thin">
        <color indexed="64"/>
      </bottom>
      <diagonal/>
    </border>
    <border>
      <left/>
      <right/>
      <top/>
      <bottom style="thin">
        <color theme="0"/>
      </bottom>
      <diagonal/>
    </border>
    <border>
      <left/>
      <right style="thin">
        <color indexed="64"/>
      </right>
      <top/>
      <bottom/>
      <diagonal/>
    </border>
    <border>
      <left/>
      <right style="thin">
        <color indexed="64"/>
      </right>
      <top/>
      <bottom style="thin">
        <color theme="1"/>
      </bottom>
      <diagonal/>
    </border>
    <border>
      <left/>
      <right/>
      <top/>
      <bottom style="thin">
        <color theme="1"/>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s>
  <cellStyleXfs count="22">
    <xf numFmtId="0" fontId="0" fillId="0" borderId="0"/>
    <xf numFmtId="0" fontId="4" fillId="2" borderId="0" applyNumberFormat="0" applyBorder="0" applyAlignment="0" applyProtection="0"/>
    <xf numFmtId="0" fontId="5" fillId="3" borderId="1" applyNumberFormat="0" applyAlignment="0" applyProtection="0"/>
    <xf numFmtId="0" fontId="3" fillId="4" borderId="2" applyNumberFormat="0" applyFont="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0" fontId="16" fillId="0" borderId="0"/>
    <xf numFmtId="9" fontId="16" fillId="0" borderId="0" applyFont="0" applyFill="0" applyBorder="0" applyAlignment="0" applyProtection="0"/>
    <xf numFmtId="0" fontId="21" fillId="0" borderId="0" applyNumberFormat="0" applyFill="0" applyBorder="0" applyAlignment="0" applyProtection="0"/>
    <xf numFmtId="43" fontId="16" fillId="0" borderId="0" applyFont="0" applyFill="0" applyBorder="0" applyAlignment="0" applyProtection="0"/>
    <xf numFmtId="0" fontId="22" fillId="0" borderId="0"/>
    <xf numFmtId="164" fontId="3" fillId="0" borderId="0" applyFont="0" applyFill="0" applyBorder="0" applyAlignment="0" applyProtection="0"/>
  </cellStyleXfs>
  <cellXfs count="148">
    <xf numFmtId="0" fontId="0" fillId="0" borderId="0" xfId="0"/>
    <xf numFmtId="0" fontId="0" fillId="4" borderId="2" xfId="3" applyFont="1"/>
    <xf numFmtId="0" fontId="5" fillId="3" borderId="1" xfId="2"/>
    <xf numFmtId="0" fontId="3" fillId="5" borderId="0" xfId="4"/>
    <xf numFmtId="0" fontId="4" fillId="2" borderId="0" xfId="1"/>
    <xf numFmtId="0" fontId="3" fillId="7" borderId="0" xfId="6"/>
    <xf numFmtId="0" fontId="3" fillId="10" borderId="0" xfId="9"/>
    <xf numFmtId="0" fontId="3" fillId="11" borderId="0" xfId="10"/>
    <xf numFmtId="0" fontId="3" fillId="6" borderId="0" xfId="5"/>
    <xf numFmtId="0" fontId="0" fillId="0" borderId="0" xfId="0" applyAlignment="1">
      <alignment wrapText="1"/>
    </xf>
    <xf numFmtId="0" fontId="3" fillId="12" borderId="0" xfId="11"/>
    <xf numFmtId="165" fontId="0" fillId="0" borderId="0" xfId="0" applyNumberFormat="1"/>
    <xf numFmtId="10" fontId="0" fillId="0" borderId="0" xfId="0" applyNumberFormat="1"/>
    <xf numFmtId="0" fontId="3" fillId="8" borderId="0" xfId="7"/>
    <xf numFmtId="9" fontId="0" fillId="0" borderId="0" xfId="0" applyNumberFormat="1"/>
    <xf numFmtId="0" fontId="3" fillId="9" borderId="0" xfId="8"/>
    <xf numFmtId="0" fontId="0" fillId="0" borderId="0" xfId="0" applyAlignment="1">
      <alignment vertical="center"/>
    </xf>
    <xf numFmtId="0" fontId="0" fillId="0" borderId="0" xfId="0" applyAlignment="1">
      <alignment horizontal="center" vertical="center"/>
    </xf>
    <xf numFmtId="0" fontId="3" fillId="5" borderId="0" xfId="4" applyAlignment="1">
      <alignment horizontal="center" vertical="center"/>
    </xf>
    <xf numFmtId="0" fontId="3" fillId="5" borderId="2" xfId="4" applyBorder="1" applyAlignment="1">
      <alignment horizontal="center" vertical="center"/>
    </xf>
    <xf numFmtId="0" fontId="3" fillId="6" borderId="0" xfId="5" applyAlignment="1">
      <alignment horizontal="center" vertical="center"/>
    </xf>
    <xf numFmtId="0" fontId="3" fillId="9" borderId="0" xfId="8" applyAlignment="1">
      <alignment horizontal="center" vertical="center"/>
    </xf>
    <xf numFmtId="0" fontId="4" fillId="2" borderId="0" xfId="1" applyAlignment="1">
      <alignment vertical="center"/>
    </xf>
    <xf numFmtId="0" fontId="6" fillId="13" borderId="0" xfId="12" applyFont="1" applyFill="1" applyAlignment="1">
      <alignment horizontal="centerContinuous"/>
    </xf>
    <xf numFmtId="0" fontId="2" fillId="0" borderId="0" xfId="12"/>
    <xf numFmtId="0" fontId="7" fillId="0" borderId="0" xfId="12" applyFont="1" applyAlignment="1">
      <alignment horizontal="left" vertical="center" indent="4"/>
    </xf>
    <xf numFmtId="10" fontId="0" fillId="0" borderId="0" xfId="14" applyNumberFormat="1" applyFont="1"/>
    <xf numFmtId="0" fontId="8" fillId="0" borderId="0" xfId="12" applyFont="1"/>
    <xf numFmtId="15" fontId="2" fillId="0" borderId="0" xfId="12" applyNumberFormat="1"/>
    <xf numFmtId="3" fontId="2" fillId="0" borderId="0" xfId="12" applyNumberFormat="1"/>
    <xf numFmtId="9" fontId="0" fillId="0" borderId="0" xfId="14" applyFont="1"/>
    <xf numFmtId="4" fontId="2" fillId="0" borderId="0" xfId="12" applyNumberFormat="1"/>
    <xf numFmtId="0" fontId="3" fillId="0" borderId="0" xfId="12" applyFont="1"/>
    <xf numFmtId="166" fontId="3" fillId="0" borderId="0" xfId="13" applyNumberFormat="1" applyFont="1"/>
    <xf numFmtId="10" fontId="3" fillId="0" borderId="0" xfId="14" applyNumberFormat="1" applyFont="1"/>
    <xf numFmtId="10" fontId="10" fillId="0" borderId="0" xfId="14" applyNumberFormat="1" applyFont="1"/>
    <xf numFmtId="0" fontId="11" fillId="0" borderId="3" xfId="12" applyFont="1" applyBorder="1"/>
    <xf numFmtId="10" fontId="11" fillId="0" borderId="3" xfId="14" applyNumberFormat="1" applyFont="1" applyBorder="1"/>
    <xf numFmtId="10" fontId="3" fillId="0" borderId="0" xfId="12" applyNumberFormat="1" applyFont="1"/>
    <xf numFmtId="0" fontId="10" fillId="0" borderId="0" xfId="12" applyFont="1"/>
    <xf numFmtId="10" fontId="11" fillId="0" borderId="3" xfId="12" applyNumberFormat="1" applyFont="1" applyBorder="1"/>
    <xf numFmtId="0" fontId="11" fillId="14" borderId="3" xfId="12" applyFont="1" applyFill="1" applyBorder="1"/>
    <xf numFmtId="10" fontId="3" fillId="14" borderId="3" xfId="12" applyNumberFormat="1" applyFont="1" applyFill="1" applyBorder="1"/>
    <xf numFmtId="0" fontId="12" fillId="13" borderId="0" xfId="12" applyFont="1" applyFill="1" applyAlignment="1">
      <alignment horizontal="centerContinuous"/>
    </xf>
    <xf numFmtId="0" fontId="2" fillId="14" borderId="0" xfId="12" applyFill="1"/>
    <xf numFmtId="0" fontId="1" fillId="0" borderId="0" xfId="12" applyFont="1"/>
    <xf numFmtId="167" fontId="2" fillId="0" borderId="0" xfId="12" applyNumberFormat="1"/>
    <xf numFmtId="0" fontId="0" fillId="0" borderId="5" xfId="0" applyBorder="1"/>
    <xf numFmtId="9" fontId="0" fillId="0" borderId="0" xfId="15" applyFont="1" applyBorder="1"/>
    <xf numFmtId="0" fontId="0" fillId="0" borderId="0" xfId="0" applyAlignment="1">
      <alignment horizontal="center"/>
    </xf>
    <xf numFmtId="0" fontId="0" fillId="0" borderId="6" xfId="0" applyBorder="1"/>
    <xf numFmtId="9" fontId="0" fillId="0" borderId="7" xfId="15" applyFont="1" applyBorder="1"/>
    <xf numFmtId="3" fontId="0" fillId="0" borderId="0" xfId="0" applyNumberFormat="1"/>
    <xf numFmtId="0" fontId="0" fillId="0" borderId="8" xfId="0" applyBorder="1"/>
    <xf numFmtId="3" fontId="0" fillId="0" borderId="9" xfId="0" applyNumberFormat="1" applyBorder="1"/>
    <xf numFmtId="10" fontId="0" fillId="0" borderId="0" xfId="15" applyNumberFormat="1" applyFont="1" applyBorder="1"/>
    <xf numFmtId="0" fontId="0" fillId="19" borderId="2" xfId="3" applyFont="1" applyFill="1"/>
    <xf numFmtId="0" fontId="0" fillId="19" borderId="0" xfId="0" applyFill="1"/>
    <xf numFmtId="0" fontId="14" fillId="20" borderId="0" xfId="0" applyFont="1" applyFill="1"/>
    <xf numFmtId="0" fontId="14" fillId="20" borderId="4" xfId="0" applyFont="1" applyFill="1" applyBorder="1" applyAlignment="1">
      <alignment horizontal="center"/>
    </xf>
    <xf numFmtId="0" fontId="5" fillId="21" borderId="1" xfId="2" applyFill="1"/>
    <xf numFmtId="0" fontId="15" fillId="4" borderId="2" xfId="3" applyFont="1" applyAlignment="1">
      <alignment horizontal="left"/>
    </xf>
    <xf numFmtId="0" fontId="16" fillId="0" borderId="0" xfId="16"/>
    <xf numFmtId="0" fontId="16" fillId="22" borderId="0" xfId="16" applyFill="1"/>
    <xf numFmtId="0" fontId="16" fillId="23" borderId="0" xfId="16" applyFill="1"/>
    <xf numFmtId="0" fontId="16" fillId="24" borderId="0" xfId="16" applyFill="1"/>
    <xf numFmtId="10" fontId="0" fillId="0" borderId="0" xfId="17" applyNumberFormat="1" applyFont="1"/>
    <xf numFmtId="1" fontId="16" fillId="22" borderId="0" xfId="16" applyNumberFormat="1" applyFill="1"/>
    <xf numFmtId="0" fontId="17" fillId="0" borderId="0" xfId="16" applyFont="1"/>
    <xf numFmtId="0" fontId="18" fillId="0" borderId="0" xfId="16" applyFont="1"/>
    <xf numFmtId="0" fontId="19" fillId="0" borderId="0" xfId="16" applyFont="1"/>
    <xf numFmtId="0" fontId="16" fillId="25" borderId="0" xfId="16" applyFill="1"/>
    <xf numFmtId="1" fontId="16" fillId="25" borderId="0" xfId="16" applyNumberFormat="1" applyFill="1"/>
    <xf numFmtId="0" fontId="16" fillId="26" borderId="0" xfId="16" applyFill="1"/>
    <xf numFmtId="1" fontId="16" fillId="26" borderId="0" xfId="16" applyNumberFormat="1" applyFill="1"/>
    <xf numFmtId="0" fontId="20" fillId="0" borderId="0" xfId="16" applyFont="1"/>
    <xf numFmtId="0" fontId="16" fillId="0" borderId="0" xfId="16" applyAlignment="1">
      <alignment horizontal="left" vertical="center" indent="1"/>
    </xf>
    <xf numFmtId="0" fontId="20" fillId="0" borderId="0" xfId="16" applyFont="1" applyAlignment="1">
      <alignment horizontal="left" vertical="center" indent="1"/>
    </xf>
    <xf numFmtId="1" fontId="16" fillId="0" borderId="0" xfId="16" applyNumberFormat="1"/>
    <xf numFmtId="0" fontId="16" fillId="27" borderId="0" xfId="16" applyFill="1"/>
    <xf numFmtId="1" fontId="16" fillId="27" borderId="0" xfId="16" applyNumberFormat="1" applyFill="1"/>
    <xf numFmtId="0" fontId="16" fillId="0" borderId="0" xfId="16" applyAlignment="1">
      <alignment horizontal="center" vertical="center"/>
    </xf>
    <xf numFmtId="0" fontId="16" fillId="28" borderId="0" xfId="16" applyFill="1"/>
    <xf numFmtId="1" fontId="16" fillId="28" borderId="0" xfId="16" applyNumberFormat="1" applyFill="1"/>
    <xf numFmtId="0" fontId="16" fillId="29" borderId="0" xfId="16" applyFill="1"/>
    <xf numFmtId="2" fontId="16" fillId="0" borderId="0" xfId="16" applyNumberFormat="1"/>
    <xf numFmtId="2" fontId="16" fillId="29" borderId="0" xfId="16" applyNumberFormat="1" applyFill="1"/>
    <xf numFmtId="0" fontId="21" fillId="0" borderId="0" xfId="18"/>
    <xf numFmtId="9" fontId="16" fillId="0" borderId="0" xfId="16" applyNumberFormat="1"/>
    <xf numFmtId="10" fontId="16" fillId="0" borderId="0" xfId="16" applyNumberFormat="1"/>
    <xf numFmtId="168" fontId="16" fillId="0" borderId="0" xfId="16" applyNumberFormat="1"/>
    <xf numFmtId="169" fontId="0" fillId="0" borderId="0" xfId="19" applyNumberFormat="1" applyFont="1"/>
    <xf numFmtId="0" fontId="0" fillId="30" borderId="10" xfId="0" applyFill="1" applyBorder="1"/>
    <xf numFmtId="0" fontId="16" fillId="14" borderId="10" xfId="0" applyFont="1" applyFill="1" applyBorder="1"/>
    <xf numFmtId="0" fontId="0" fillId="0" borderId="10" xfId="0" applyBorder="1"/>
    <xf numFmtId="9" fontId="16" fillId="0" borderId="0" xfId="15" applyFont="1"/>
    <xf numFmtId="0" fontId="26" fillId="0" borderId="0" xfId="16" applyFont="1"/>
    <xf numFmtId="0" fontId="16" fillId="0" borderId="0" xfId="16" quotePrefix="1"/>
    <xf numFmtId="0" fontId="2" fillId="0" borderId="11" xfId="12" applyBorder="1"/>
    <xf numFmtId="0" fontId="16" fillId="0" borderId="0" xfId="16" applyAlignment="1">
      <alignment horizontal="center"/>
    </xf>
    <xf numFmtId="9" fontId="16" fillId="0" borderId="0" xfId="15" applyFont="1" applyAlignment="1">
      <alignment horizontal="center"/>
    </xf>
    <xf numFmtId="10" fontId="16" fillId="0" borderId="0" xfId="16" applyNumberFormat="1" applyAlignment="1">
      <alignment horizontal="center"/>
    </xf>
    <xf numFmtId="0" fontId="16" fillId="22" borderId="0" xfId="16" applyFill="1" applyAlignment="1">
      <alignment horizontal="center"/>
    </xf>
    <xf numFmtId="166" fontId="3" fillId="11" borderId="0" xfId="21" applyNumberFormat="1" applyFill="1" applyAlignment="1">
      <alignment horizontal="center"/>
    </xf>
    <xf numFmtId="166" fontId="16" fillId="32" borderId="0" xfId="16" applyNumberFormat="1" applyFill="1" applyAlignment="1">
      <alignment horizontal="center"/>
    </xf>
    <xf numFmtId="10" fontId="25" fillId="0" borderId="0" xfId="17" applyNumberFormat="1" applyFont="1" applyFill="1" applyAlignment="1">
      <alignment horizontal="center"/>
    </xf>
    <xf numFmtId="10" fontId="23" fillId="24" borderId="0" xfId="17" applyNumberFormat="1" applyFont="1" applyFill="1" applyAlignment="1">
      <alignment horizontal="center"/>
    </xf>
    <xf numFmtId="168" fontId="24" fillId="31" borderId="0" xfId="15" applyNumberFormat="1" applyFont="1" applyFill="1" applyAlignment="1">
      <alignment horizontal="center"/>
    </xf>
    <xf numFmtId="9" fontId="24" fillId="31" borderId="0" xfId="16" applyNumberFormat="1" applyFont="1" applyFill="1" applyAlignment="1">
      <alignment horizontal="center"/>
    </xf>
    <xf numFmtId="166" fontId="16" fillId="0" borderId="0" xfId="16" applyNumberFormat="1" applyAlignment="1">
      <alignment horizontal="center"/>
    </xf>
    <xf numFmtId="10" fontId="27" fillId="0" borderId="0" xfId="14" applyNumberFormat="1" applyFont="1" applyAlignment="1">
      <alignment horizontal="center"/>
    </xf>
    <xf numFmtId="10" fontId="24" fillId="31" borderId="0" xfId="16" applyNumberFormat="1" applyFont="1" applyFill="1" applyAlignment="1">
      <alignment horizontal="center"/>
    </xf>
    <xf numFmtId="166" fontId="16" fillId="0" borderId="0" xfId="21" applyNumberFormat="1" applyFont="1" applyAlignment="1">
      <alignment horizontal="center"/>
    </xf>
    <xf numFmtId="166" fontId="28" fillId="0" borderId="0" xfId="16" applyNumberFormat="1" applyFont="1" applyAlignment="1">
      <alignment horizontal="center"/>
    </xf>
    <xf numFmtId="9" fontId="29" fillId="0" borderId="0" xfId="15" applyFont="1" applyAlignment="1">
      <alignment horizontal="center"/>
    </xf>
    <xf numFmtId="9" fontId="16" fillId="0" borderId="0" xfId="16" applyNumberFormat="1" applyAlignment="1">
      <alignment horizontal="center"/>
    </xf>
    <xf numFmtId="2" fontId="16" fillId="0" borderId="0" xfId="16" applyNumberFormat="1" applyAlignment="1">
      <alignment horizontal="center"/>
    </xf>
    <xf numFmtId="0" fontId="2" fillId="0" borderId="0" xfId="12" applyAlignment="1">
      <alignment horizontal="left"/>
    </xf>
    <xf numFmtId="0" fontId="16" fillId="0" borderId="0" xfId="16" applyAlignment="1">
      <alignment horizontal="left"/>
    </xf>
    <xf numFmtId="0" fontId="2" fillId="33" borderId="12" xfId="12" applyFill="1" applyBorder="1" applyAlignment="1">
      <alignment horizontal="left"/>
    </xf>
    <xf numFmtId="166" fontId="16" fillId="30" borderId="0" xfId="16" applyNumberFormat="1" applyFill="1" applyAlignment="1">
      <alignment horizontal="center"/>
    </xf>
    <xf numFmtId="0" fontId="16" fillId="0" borderId="0" xfId="16" applyAlignment="1">
      <alignment horizontal="right"/>
    </xf>
    <xf numFmtId="0" fontId="30" fillId="16" borderId="0" xfId="12" applyFont="1" applyFill="1" applyAlignment="1">
      <alignment horizontal="centerContinuous"/>
    </xf>
    <xf numFmtId="0" fontId="31" fillId="17" borderId="0" xfId="12" applyFont="1" applyFill="1" applyAlignment="1">
      <alignment horizontal="centerContinuous"/>
    </xf>
    <xf numFmtId="0" fontId="16" fillId="17" borderId="0" xfId="12" applyFont="1" applyFill="1" applyAlignment="1">
      <alignment horizontal="centerContinuous"/>
    </xf>
    <xf numFmtId="0" fontId="16" fillId="0" borderId="0" xfId="12" applyFont="1"/>
    <xf numFmtId="0" fontId="32" fillId="16" borderId="0" xfId="12" applyFont="1" applyFill="1" applyAlignment="1">
      <alignment horizontal="centerContinuous"/>
    </xf>
    <xf numFmtId="0" fontId="32" fillId="17" borderId="0" xfId="12" applyFont="1" applyFill="1" applyAlignment="1">
      <alignment horizontal="centerContinuous"/>
    </xf>
    <xf numFmtId="3" fontId="16" fillId="14" borderId="0" xfId="12" applyNumberFormat="1" applyFont="1" applyFill="1"/>
    <xf numFmtId="10" fontId="16" fillId="15" borderId="0" xfId="12" applyNumberFormat="1" applyFont="1" applyFill="1"/>
    <xf numFmtId="0" fontId="16" fillId="17" borderId="0" xfId="12" applyFont="1" applyFill="1" applyAlignment="1">
      <alignment vertical="distributed"/>
    </xf>
    <xf numFmtId="3" fontId="16" fillId="0" borderId="0" xfId="12" applyNumberFormat="1" applyFont="1"/>
    <xf numFmtId="3" fontId="16" fillId="15" borderId="0" xfId="12" applyNumberFormat="1" applyFont="1" applyFill="1"/>
    <xf numFmtId="3" fontId="16" fillId="18" borderId="0" xfId="12" applyNumberFormat="1" applyFont="1" applyFill="1"/>
    <xf numFmtId="0" fontId="33" fillId="0" borderId="0" xfId="0" applyFont="1"/>
    <xf numFmtId="0" fontId="34" fillId="0" borderId="0" xfId="0" applyFont="1"/>
    <xf numFmtId="0" fontId="34" fillId="34" borderId="0" xfId="0" applyFont="1" applyFill="1"/>
    <xf numFmtId="0" fontId="35" fillId="0" borderId="0" xfId="0" applyFont="1"/>
    <xf numFmtId="3" fontId="36" fillId="35" borderId="0" xfId="0" applyNumberFormat="1" applyFont="1" applyFill="1" applyAlignment="1">
      <alignment horizontal="center"/>
    </xf>
    <xf numFmtId="3" fontId="33" fillId="36" borderId="0" xfId="0" applyNumberFormat="1" applyFont="1" applyFill="1" applyAlignment="1">
      <alignment horizontal="center"/>
    </xf>
    <xf numFmtId="0" fontId="16" fillId="14" borderId="10" xfId="0" applyFont="1" applyFill="1" applyBorder="1" applyAlignment="1">
      <alignment horizontal="center" vertical="center"/>
    </xf>
    <xf numFmtId="0" fontId="16" fillId="30" borderId="10" xfId="0" applyFont="1" applyFill="1" applyBorder="1" applyAlignment="1">
      <alignment horizontal="center"/>
    </xf>
    <xf numFmtId="0" fontId="0" fillId="30" borderId="10" xfId="0" applyFill="1" applyBorder="1" applyAlignment="1">
      <alignment horizontal="center"/>
    </xf>
    <xf numFmtId="0" fontId="0" fillId="0" borderId="0" xfId="0" applyAlignment="1">
      <alignment horizontal="center" wrapText="1"/>
    </xf>
    <xf numFmtId="0" fontId="0" fillId="0" borderId="0" xfId="0" applyAlignment="1">
      <alignment horizontal="center"/>
    </xf>
    <xf numFmtId="0" fontId="14" fillId="20" borderId="4" xfId="0" applyFont="1" applyFill="1" applyBorder="1" applyAlignment="1">
      <alignment horizontal="center"/>
    </xf>
    <xf numFmtId="0" fontId="32" fillId="16" borderId="0" xfId="12" applyFont="1" applyFill="1" applyAlignment="1">
      <alignment horizontal="center" vertical="distributed" textRotation="90"/>
    </xf>
    <xf numFmtId="0" fontId="31" fillId="17" borderId="0" xfId="12" applyFont="1" applyFill="1" applyAlignment="1">
      <alignment vertical="distributed"/>
    </xf>
  </cellXfs>
  <cellStyles count="22">
    <cellStyle name="20 % - Accent1" xfId="4" builtinId="30"/>
    <cellStyle name="20 % - Accent2" xfId="5" builtinId="34"/>
    <cellStyle name="20 % - Accent3" xfId="8" builtinId="38"/>
    <cellStyle name="20 % - Accent4" xfId="9" builtinId="42"/>
    <cellStyle name="20 % - Accent5" xfId="10" builtinId="46"/>
    <cellStyle name="40 % - Accent2" xfId="6" builtinId="35"/>
    <cellStyle name="40 % - Accent5" xfId="11" builtinId="47"/>
    <cellStyle name="60 % - Accent2" xfId="7" builtinId="36"/>
    <cellStyle name="Comma 2" xfId="13" xr:uid="{E163E923-8CF7-4941-B129-81F4A2ECA0AE}"/>
    <cellStyle name="Insatisfaisant" xfId="1" builtinId="27"/>
    <cellStyle name="Lien hypertexte" xfId="18" builtinId="8"/>
    <cellStyle name="Milliers" xfId="21" builtinId="3"/>
    <cellStyle name="Milliers 2" xfId="19" xr:uid="{7F01A324-4832-4D39-87A8-04DB1651C1BF}"/>
    <cellStyle name="Normal" xfId="0" builtinId="0"/>
    <cellStyle name="Normal 2" xfId="12" xr:uid="{6BFA6663-96DA-41FB-8DBE-9DD3C02BA760}"/>
    <cellStyle name="Normal 3" xfId="16" xr:uid="{D2950676-C60A-4E93-B2D1-78CD9608BCCA}"/>
    <cellStyle name="Normal 4" xfId="20" xr:uid="{6B980059-A948-4DE9-9424-1A797694B837}"/>
    <cellStyle name="Note" xfId="3" builtinId="10"/>
    <cellStyle name="Percent 2" xfId="14" xr:uid="{DB67ED02-D1EE-4103-968A-F1219BBF89D8}"/>
    <cellStyle name="Pourcentage" xfId="15" builtinId="5"/>
    <cellStyle name="Pourcentage 2" xfId="17" xr:uid="{B718A61C-D741-4F91-BB5C-ACA60F2C0971}"/>
    <cellStyle name="Sortie" xfId="2" builtin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lotArea>
      <c:layout/>
      <c:pieChart>
        <c:varyColors val="1"/>
        <c:ser>
          <c:idx val="0"/>
          <c:order val="0"/>
          <c:tx>
            <c:strRef>
              <c:f>Liquidity!$A$3</c:f>
              <c:strCache>
                <c:ptCount val="1"/>
                <c:pt idx="0">
                  <c:v>Current ratio</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3-3ADE-4D3B-869D-79314641E4CB}"/>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2D51-40A5-B896-23BDD28F0087}"/>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2D51-40A5-B896-23BDD28F008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Liquidity!$B$1:$D$2</c:f>
              <c:multiLvlStrCache>
                <c:ptCount val="3"/>
                <c:lvl>
                  <c:pt idx="0">
                    <c:v>2021</c:v>
                  </c:pt>
                  <c:pt idx="1">
                    <c:v>2022</c:v>
                  </c:pt>
                  <c:pt idx="2">
                    <c:v>2023</c:v>
                  </c:pt>
                </c:lvl>
                <c:lvl>
                  <c:pt idx="0">
                    <c:v>Année</c:v>
                  </c:pt>
                </c:lvl>
              </c:multiLvlStrCache>
            </c:multiLvlStrRef>
          </c:cat>
          <c:val>
            <c:numRef>
              <c:f>Liquidity!$B$3:$D$3</c:f>
              <c:numCache>
                <c:formatCode>General</c:formatCode>
                <c:ptCount val="3"/>
                <c:pt idx="0">
                  <c:v>1.4352664944822728</c:v>
                </c:pt>
                <c:pt idx="1">
                  <c:v>1.4198798197295943</c:v>
                </c:pt>
                <c:pt idx="2">
                  <c:v>1.2670496817392742</c:v>
                </c:pt>
              </c:numCache>
            </c:numRef>
          </c:val>
          <c:extLst>
            <c:ext xmlns:c16="http://schemas.microsoft.com/office/drawing/2014/chart" uri="{C3380CC4-5D6E-409C-BE32-E72D297353CC}">
              <c16:uniqueId val="{00000000-3ADE-4D3B-869D-79314641E4C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v>Quick ratio</c:v>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3"/>
              <c:pt idx="0">
                <c:v>Année 2021</c:v>
              </c:pt>
              <c:pt idx="1">
                <c:v>Année 2022</c:v>
              </c:pt>
              <c:pt idx="2">
                <c:v>Année 2023</c:v>
              </c:pt>
            </c:strLit>
          </c:cat>
          <c:val>
            <c:numLit>
              <c:formatCode>General</c:formatCode>
              <c:ptCount val="3"/>
              <c:pt idx="0">
                <c:v>0.82958440948579482</c:v>
              </c:pt>
              <c:pt idx="1">
                <c:v>0.86796861959606075</c:v>
              </c:pt>
              <c:pt idx="2">
                <c:v>0.7085641068033397</c:v>
              </c:pt>
            </c:numLit>
          </c:val>
          <c:extLst>
            <c:ext xmlns:c16="http://schemas.microsoft.com/office/drawing/2014/chart" uri="{C3380CC4-5D6E-409C-BE32-E72D297353CC}">
              <c16:uniqueId val="{00000000-5F8B-41A3-98FB-EDB1C03D09C4}"/>
            </c:ext>
          </c:extLst>
        </c:ser>
        <c:dLbls>
          <c:dLblPos val="inEnd"/>
          <c:showLegendKey val="0"/>
          <c:showVal val="1"/>
          <c:showCatName val="0"/>
          <c:showSerName val="0"/>
          <c:showPercent val="0"/>
          <c:showBubbleSize val="0"/>
        </c:dLbls>
        <c:gapWidth val="65"/>
        <c:axId val="593855152"/>
        <c:axId val="593851192"/>
      </c:barChart>
      <c:catAx>
        <c:axId val="5938551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93851192"/>
        <c:crosses val="autoZero"/>
        <c:auto val="1"/>
        <c:lblAlgn val="ctr"/>
        <c:lblOffset val="100"/>
        <c:noMultiLvlLbl val="0"/>
      </c:catAx>
      <c:valAx>
        <c:axId val="593851192"/>
        <c:scaling>
          <c:orientation val="minMax"/>
        </c:scaling>
        <c:delete val="1"/>
        <c:axPos val="l"/>
        <c:numFmt formatCode="General" sourceLinked="1"/>
        <c:majorTickMark val="none"/>
        <c:minorTickMark val="none"/>
        <c:tickLblPos val="nextTo"/>
        <c:crossAx val="593855152"/>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v>Cash ratio</c:v>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3"/>
              <c:pt idx="0">
                <c:v>Année 2021</c:v>
              </c:pt>
              <c:pt idx="1">
                <c:v>Année 2022</c:v>
              </c:pt>
              <c:pt idx="2">
                <c:v>Année 2023</c:v>
              </c:pt>
            </c:strLit>
          </c:cat>
          <c:val>
            <c:numLit>
              <c:formatCode>General</c:formatCode>
              <c:ptCount val="3"/>
              <c:pt idx="0">
                <c:v>0.47419582061516791</c:v>
              </c:pt>
              <c:pt idx="1">
                <c:v>0.5164413286596562</c:v>
              </c:pt>
              <c:pt idx="2">
                <c:v>0.36000661320988675</c:v>
              </c:pt>
            </c:numLit>
          </c:val>
          <c:extLst>
            <c:ext xmlns:c16="http://schemas.microsoft.com/office/drawing/2014/chart" uri="{C3380CC4-5D6E-409C-BE32-E72D297353CC}">
              <c16:uniqueId val="{00000000-EEE0-4149-830A-4E08B2DAC5CB}"/>
            </c:ext>
          </c:extLst>
        </c:ser>
        <c:dLbls>
          <c:dLblPos val="inEnd"/>
          <c:showLegendKey val="0"/>
          <c:showVal val="1"/>
          <c:showCatName val="0"/>
          <c:showSerName val="0"/>
          <c:showPercent val="0"/>
          <c:showBubbleSize val="0"/>
        </c:dLbls>
        <c:gapWidth val="65"/>
        <c:axId val="794305264"/>
        <c:axId val="794304904"/>
      </c:barChart>
      <c:catAx>
        <c:axId val="79430526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94304904"/>
        <c:crosses val="autoZero"/>
        <c:auto val="1"/>
        <c:lblAlgn val="ctr"/>
        <c:lblOffset val="100"/>
        <c:noMultiLvlLbl val="0"/>
      </c:catAx>
      <c:valAx>
        <c:axId val="7943049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94305264"/>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sng" strike="noStrike" kern="1200" spc="0" baseline="0">
                <a:solidFill>
                  <a:srgbClr val="000000"/>
                </a:solidFill>
                <a:latin typeface="+mn-lt"/>
                <a:ea typeface="+mn-ea"/>
                <a:cs typeface="+mn-cs"/>
              </a:defRPr>
            </a:pPr>
            <a:r>
              <a:rPr lang="en-US"/>
              <a:t>Sanofi's Profitability Trends (2021-2023)</a:t>
            </a:r>
          </a:p>
        </c:rich>
      </c:tx>
      <c:overlay val="0"/>
      <c:spPr>
        <a:noFill/>
        <a:ln>
          <a:noFill/>
        </a:ln>
        <a:effectLst/>
      </c:spPr>
      <c:txPr>
        <a:bodyPr rot="0" spcFirstLastPara="1" vertOverflow="ellipsis" vert="horz" wrap="square" anchor="ctr" anchorCtr="1"/>
        <a:lstStyle/>
        <a:p>
          <a:pPr>
            <a:defRPr sz="1000" b="0" i="0" u="sng" strike="noStrike" kern="1200" spc="0" baseline="0">
              <a:solidFill>
                <a:srgbClr val="000000"/>
              </a:solidFill>
              <a:latin typeface="+mn-lt"/>
              <a:ea typeface="+mn-ea"/>
              <a:cs typeface="+mn-cs"/>
            </a:defRPr>
          </a:pPr>
          <a:endParaRPr lang="en-US"/>
        </a:p>
      </c:txPr>
    </c:title>
    <c:autoTitleDeleted val="0"/>
    <c:plotArea>
      <c:layout/>
      <c:lineChart>
        <c:grouping val="standard"/>
        <c:varyColors val="0"/>
        <c:ser>
          <c:idx val="0"/>
          <c:order val="0"/>
          <c:tx>
            <c:strRef>
              <c:f>'ProfitRatios and OpReturns'!$D$2</c:f>
              <c:strCache>
                <c:ptCount val="1"/>
                <c:pt idx="0">
                  <c:v>Gross Margin</c:v>
                </c:pt>
              </c:strCache>
            </c:strRef>
          </c:tx>
          <c:spPr>
            <a:ln w="28575" cap="rnd">
              <a:solidFill>
                <a:schemeClr val="accent1"/>
              </a:solidFill>
              <a:round/>
            </a:ln>
            <a:effectLst/>
          </c:spPr>
          <c:marker>
            <c:symbol val="none"/>
          </c:marker>
          <c:cat>
            <c:numRef>
              <c:f>'ProfitRatios and OpReturns'!$C$3:$C$5</c:f>
              <c:numCache>
                <c:formatCode>General</c:formatCode>
                <c:ptCount val="3"/>
                <c:pt idx="0">
                  <c:v>2021</c:v>
                </c:pt>
                <c:pt idx="1">
                  <c:v>2022</c:v>
                </c:pt>
                <c:pt idx="2">
                  <c:v>2023</c:v>
                </c:pt>
              </c:numCache>
            </c:numRef>
          </c:cat>
          <c:val>
            <c:numRef>
              <c:f>'ProfitRatios and OpReturns'!$D$3:$D$5</c:f>
              <c:numCache>
                <c:formatCode>0.00%</c:formatCode>
                <c:ptCount val="3"/>
                <c:pt idx="0">
                  <c:v>0.71290484891819605</c:v>
                </c:pt>
                <c:pt idx="1">
                  <c:v>0.73712119450194202</c:v>
                </c:pt>
                <c:pt idx="2">
                  <c:v>0.74780589737636405</c:v>
                </c:pt>
              </c:numCache>
            </c:numRef>
          </c:val>
          <c:smooth val="0"/>
          <c:extLst>
            <c:ext xmlns:c16="http://schemas.microsoft.com/office/drawing/2014/chart" uri="{C3380CC4-5D6E-409C-BE32-E72D297353CC}">
              <c16:uniqueId val="{BD57C737-637D-4EA7-8964-1063DBDC0131}"/>
            </c:ext>
          </c:extLst>
        </c:ser>
        <c:ser>
          <c:idx val="1"/>
          <c:order val="1"/>
          <c:tx>
            <c:strRef>
              <c:f>'ProfitRatios and OpReturns'!$E$2</c:f>
              <c:strCache>
                <c:ptCount val="1"/>
                <c:pt idx="0">
                  <c:v>Operating Margin</c:v>
                </c:pt>
              </c:strCache>
            </c:strRef>
          </c:tx>
          <c:spPr>
            <a:ln w="28575" cap="rnd">
              <a:solidFill>
                <a:schemeClr val="accent2"/>
              </a:solidFill>
              <a:round/>
            </a:ln>
            <a:effectLst/>
          </c:spPr>
          <c:marker>
            <c:symbol val="none"/>
          </c:marker>
          <c:cat>
            <c:numRef>
              <c:f>'ProfitRatios and OpReturns'!$C$3:$C$5</c:f>
              <c:numCache>
                <c:formatCode>General</c:formatCode>
                <c:ptCount val="3"/>
                <c:pt idx="0">
                  <c:v>2021</c:v>
                </c:pt>
                <c:pt idx="1">
                  <c:v>2022</c:v>
                </c:pt>
                <c:pt idx="2">
                  <c:v>2023</c:v>
                </c:pt>
              </c:numCache>
            </c:numRef>
          </c:cat>
          <c:val>
            <c:numRef>
              <c:f>'ProfitRatios and OpReturns'!$E$3:$E$5</c:f>
              <c:numCache>
                <c:formatCode>0.00%</c:formatCode>
                <c:ptCount val="3"/>
                <c:pt idx="0">
                  <c:v>0.21519557215116125</c:v>
                </c:pt>
                <c:pt idx="1">
                  <c:v>0.24783124404028187</c:v>
                </c:pt>
                <c:pt idx="2">
                  <c:v>0.18284188530299511</c:v>
                </c:pt>
              </c:numCache>
            </c:numRef>
          </c:val>
          <c:smooth val="0"/>
          <c:extLst>
            <c:ext xmlns:c16="http://schemas.microsoft.com/office/drawing/2014/chart" uri="{C3380CC4-5D6E-409C-BE32-E72D297353CC}">
              <c16:uniqueId val="{7E5EE410-1B27-4E7F-A560-0708281652B6}"/>
            </c:ext>
          </c:extLst>
        </c:ser>
        <c:ser>
          <c:idx val="2"/>
          <c:order val="2"/>
          <c:tx>
            <c:strRef>
              <c:f>'ProfitRatios and OpReturns'!$F$2</c:f>
              <c:strCache>
                <c:ptCount val="1"/>
                <c:pt idx="0">
                  <c:v>Net Profit Margin</c:v>
                </c:pt>
              </c:strCache>
            </c:strRef>
          </c:tx>
          <c:spPr>
            <a:ln w="28575" cap="rnd">
              <a:solidFill>
                <a:schemeClr val="accent3"/>
              </a:solidFill>
              <a:round/>
            </a:ln>
            <a:effectLst/>
          </c:spPr>
          <c:marker>
            <c:symbol val="none"/>
          </c:marker>
          <c:cat>
            <c:numRef>
              <c:f>'ProfitRatios and OpReturns'!$C$3:$C$5</c:f>
              <c:numCache>
                <c:formatCode>General</c:formatCode>
                <c:ptCount val="3"/>
                <c:pt idx="0">
                  <c:v>2021</c:v>
                </c:pt>
                <c:pt idx="1">
                  <c:v>2022</c:v>
                </c:pt>
                <c:pt idx="2">
                  <c:v>2023</c:v>
                </c:pt>
              </c:numCache>
            </c:numRef>
          </c:cat>
          <c:val>
            <c:numRef>
              <c:f>'ProfitRatios and OpReturns'!$F$3:$F$5</c:f>
              <c:numCache>
                <c:formatCode>0.00%</c:formatCode>
                <c:ptCount val="3"/>
                <c:pt idx="0">
                  <c:v>0.16628267259871296</c:v>
                </c:pt>
                <c:pt idx="1">
                  <c:v>0.19731609182035956</c:v>
                </c:pt>
                <c:pt idx="2">
                  <c:v>0.12621314139772463</c:v>
                </c:pt>
              </c:numCache>
            </c:numRef>
          </c:val>
          <c:smooth val="0"/>
          <c:extLst>
            <c:ext xmlns:c16="http://schemas.microsoft.com/office/drawing/2014/chart" uri="{C3380CC4-5D6E-409C-BE32-E72D297353CC}">
              <c16:uniqueId val="{A05B35BB-2033-4D20-946D-F67AA8CF3EA8}"/>
            </c:ext>
          </c:extLst>
        </c:ser>
        <c:dLbls>
          <c:showLegendKey val="0"/>
          <c:showVal val="0"/>
          <c:showCatName val="0"/>
          <c:showSerName val="0"/>
          <c:showPercent val="0"/>
          <c:showBubbleSize val="0"/>
        </c:dLbls>
        <c:smooth val="0"/>
        <c:axId val="1514786824"/>
        <c:axId val="704071687"/>
      </c:lineChart>
      <c:catAx>
        <c:axId val="15147868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071687"/>
        <c:crosses val="autoZero"/>
        <c:auto val="1"/>
        <c:lblAlgn val="ctr"/>
        <c:lblOffset val="100"/>
        <c:noMultiLvlLbl val="0"/>
      </c:catAx>
      <c:valAx>
        <c:axId val="7040716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78682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sng" strike="noStrike" kern="1200" spc="0" baseline="0">
                <a:solidFill>
                  <a:srgbClr val="000000"/>
                </a:solidFill>
                <a:latin typeface="+mn-lt"/>
                <a:ea typeface="+mn-ea"/>
                <a:cs typeface="+mn-cs"/>
              </a:defRPr>
            </a:pPr>
            <a:r>
              <a:rPr lang="en-US"/>
              <a:t>Sanofi's Return on Assets (ROA) and Return on Equity (ROE) (2021-2023)</a:t>
            </a:r>
          </a:p>
        </c:rich>
      </c:tx>
      <c:overlay val="0"/>
      <c:spPr>
        <a:noFill/>
        <a:ln>
          <a:noFill/>
        </a:ln>
        <a:effectLst/>
      </c:spPr>
      <c:txPr>
        <a:bodyPr rot="0" spcFirstLastPara="1" vertOverflow="ellipsis" vert="horz" wrap="square" anchor="ctr" anchorCtr="1"/>
        <a:lstStyle/>
        <a:p>
          <a:pPr>
            <a:defRPr sz="1000" b="0" i="0" u="sng" strike="noStrike" kern="1200" spc="0" baseline="0">
              <a:solidFill>
                <a:srgbClr val="000000"/>
              </a:solidFill>
              <a:latin typeface="+mn-lt"/>
              <a:ea typeface="+mn-ea"/>
              <a:cs typeface="+mn-cs"/>
            </a:defRPr>
          </a:pPr>
          <a:endParaRPr lang="en-US"/>
        </a:p>
      </c:txPr>
    </c:title>
    <c:autoTitleDeleted val="0"/>
    <c:plotArea>
      <c:layout/>
      <c:barChart>
        <c:barDir val="col"/>
        <c:grouping val="clustered"/>
        <c:varyColors val="0"/>
        <c:ser>
          <c:idx val="0"/>
          <c:order val="0"/>
          <c:tx>
            <c:strRef>
              <c:f>'ProfitRatios and OpReturns'!$D$10</c:f>
              <c:strCache>
                <c:ptCount val="1"/>
                <c:pt idx="0">
                  <c:v>ROA</c:v>
                </c:pt>
              </c:strCache>
            </c:strRef>
          </c:tx>
          <c:spPr>
            <a:solidFill>
              <a:schemeClr val="accent1"/>
            </a:solidFill>
            <a:ln>
              <a:noFill/>
            </a:ln>
            <a:effectLst/>
          </c:spPr>
          <c:invertIfNegative val="0"/>
          <c:cat>
            <c:numRef>
              <c:f>'ProfitRatios and OpReturns'!$C$11:$C$13</c:f>
              <c:numCache>
                <c:formatCode>General</c:formatCode>
                <c:ptCount val="3"/>
                <c:pt idx="0">
                  <c:v>2021</c:v>
                </c:pt>
                <c:pt idx="1">
                  <c:v>2022</c:v>
                </c:pt>
                <c:pt idx="2">
                  <c:v>2023</c:v>
                </c:pt>
              </c:numCache>
            </c:numRef>
          </c:cat>
          <c:val>
            <c:numRef>
              <c:f>'ProfitRatios and OpReturns'!$D$11:$D$13</c:f>
              <c:numCache>
                <c:formatCode>0%</c:formatCode>
                <c:ptCount val="3"/>
                <c:pt idx="0">
                  <c:v>8.5628196027871542E-2</c:v>
                </c:pt>
                <c:pt idx="1">
                  <c:v>0.10702216545594849</c:v>
                </c:pt>
                <c:pt idx="2" formatCode="0.00%">
                  <c:v>5.544200306591722E-2</c:v>
                </c:pt>
              </c:numCache>
            </c:numRef>
          </c:val>
          <c:extLst>
            <c:ext xmlns:c16="http://schemas.microsoft.com/office/drawing/2014/chart" uri="{C3380CC4-5D6E-409C-BE32-E72D297353CC}">
              <c16:uniqueId val="{648C7478-0D23-4927-9651-3785E685323C}"/>
            </c:ext>
          </c:extLst>
        </c:ser>
        <c:ser>
          <c:idx val="1"/>
          <c:order val="1"/>
          <c:tx>
            <c:strRef>
              <c:f>'ProfitRatios and OpReturns'!$E$10</c:f>
              <c:strCache>
                <c:ptCount val="1"/>
                <c:pt idx="0">
                  <c:v>ROE</c:v>
                </c:pt>
              </c:strCache>
            </c:strRef>
          </c:tx>
          <c:spPr>
            <a:solidFill>
              <a:schemeClr val="accent2"/>
            </a:solidFill>
            <a:ln>
              <a:noFill/>
            </a:ln>
            <a:effectLst/>
          </c:spPr>
          <c:invertIfNegative val="0"/>
          <c:cat>
            <c:numRef>
              <c:f>'ProfitRatios and OpReturns'!$C$11:$C$13</c:f>
              <c:numCache>
                <c:formatCode>General</c:formatCode>
                <c:ptCount val="3"/>
                <c:pt idx="0">
                  <c:v>2021</c:v>
                </c:pt>
                <c:pt idx="1">
                  <c:v>2022</c:v>
                </c:pt>
                <c:pt idx="2">
                  <c:v>2023</c:v>
                </c:pt>
              </c:numCache>
            </c:numRef>
          </c:cat>
          <c:val>
            <c:numRef>
              <c:f>'ProfitRatios and OpReturns'!$E$11:$E$13</c:f>
              <c:numCache>
                <c:formatCode>0.00%</c:formatCode>
                <c:ptCount val="3"/>
                <c:pt idx="0">
                  <c:v>9.0959134301980271E-2</c:v>
                </c:pt>
                <c:pt idx="1">
                  <c:v>0.11287618743514009</c:v>
                </c:pt>
                <c:pt idx="2">
                  <c:v>7.3097921092972598E-2</c:v>
                </c:pt>
              </c:numCache>
            </c:numRef>
          </c:val>
          <c:extLst>
            <c:ext xmlns:c16="http://schemas.microsoft.com/office/drawing/2014/chart" uri="{C3380CC4-5D6E-409C-BE32-E72D297353CC}">
              <c16:uniqueId val="{559F5B73-4B90-4932-BBB5-F4E540B34C61}"/>
            </c:ext>
          </c:extLst>
        </c:ser>
        <c:dLbls>
          <c:showLegendKey val="0"/>
          <c:showVal val="0"/>
          <c:showCatName val="0"/>
          <c:showSerName val="0"/>
          <c:showPercent val="0"/>
          <c:showBubbleSize val="0"/>
        </c:dLbls>
        <c:gapWidth val="140"/>
        <c:overlap val="-30"/>
        <c:axId val="1744029192"/>
        <c:axId val="1744031240"/>
      </c:barChart>
      <c:catAx>
        <c:axId val="17440291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031240"/>
        <c:crosses val="autoZero"/>
        <c:auto val="1"/>
        <c:lblAlgn val="ctr"/>
        <c:lblOffset val="100"/>
        <c:noMultiLvlLbl val="0"/>
      </c:catAx>
      <c:valAx>
        <c:axId val="17440312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0291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Revenues</a:t>
            </a:r>
            <a:r>
              <a:rPr lang="fr-FR" baseline="0"/>
              <a:t> Projections</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stacked"/>
        <c:varyColors val="0"/>
        <c:ser>
          <c:idx val="0"/>
          <c:order val="0"/>
          <c:tx>
            <c:v>Revenus</c:v>
          </c:tx>
          <c:spPr>
            <a:solidFill>
              <a:schemeClr val="accent1"/>
            </a:solidFill>
            <a:ln>
              <a:noFill/>
            </a:ln>
            <a:effectLst/>
          </c:spPr>
          <c:invertIfNegative val="0"/>
          <c:cat>
            <c:numRef>
              <c:f>'DCF &amp; Sentivity'!$G$122:$G$127</c:f>
              <c:numCache>
                <c:formatCode>General</c:formatCode>
                <c:ptCount val="6"/>
                <c:pt idx="0">
                  <c:v>2021</c:v>
                </c:pt>
                <c:pt idx="1">
                  <c:v>2022</c:v>
                </c:pt>
                <c:pt idx="2">
                  <c:v>2023</c:v>
                </c:pt>
                <c:pt idx="3">
                  <c:v>2024</c:v>
                </c:pt>
                <c:pt idx="4">
                  <c:v>2025</c:v>
                </c:pt>
                <c:pt idx="5">
                  <c:v>2026</c:v>
                </c:pt>
              </c:numCache>
            </c:numRef>
          </c:cat>
          <c:val>
            <c:numRef>
              <c:f>'DCF &amp; Sentivity'!$H$122:$H$127</c:f>
              <c:numCache>
                <c:formatCode>General</c:formatCode>
                <c:ptCount val="6"/>
                <c:pt idx="0">
                  <c:v>37761</c:v>
                </c:pt>
                <c:pt idx="1">
                  <c:v>42997</c:v>
                </c:pt>
                <c:pt idx="2">
                  <c:v>43070</c:v>
                </c:pt>
                <c:pt idx="3" formatCode="0">
                  <c:v>46092.639139006213</c:v>
                </c:pt>
                <c:pt idx="4" formatCode="0">
                  <c:v>49327.406148099544</c:v>
                </c:pt>
                <c:pt idx="5" formatCode="0">
                  <c:v>52789.188094904799</c:v>
                </c:pt>
              </c:numCache>
            </c:numRef>
          </c:val>
          <c:extLst>
            <c:ext xmlns:c16="http://schemas.microsoft.com/office/drawing/2014/chart" uri="{C3380CC4-5D6E-409C-BE32-E72D297353CC}">
              <c16:uniqueId val="{00000000-F71C-46E6-9EEA-4282CC5AFF29}"/>
            </c:ext>
          </c:extLst>
        </c:ser>
        <c:ser>
          <c:idx val="1"/>
          <c:order val="1"/>
          <c:tx>
            <c:v>Revenus B2B</c:v>
          </c:tx>
          <c:spPr>
            <a:solidFill>
              <a:schemeClr val="accent2"/>
            </a:solidFill>
            <a:ln>
              <a:noFill/>
            </a:ln>
            <a:effectLst/>
          </c:spPr>
          <c:invertIfNegative val="0"/>
          <c:val>
            <c:numRef>
              <c:f>'DCF &amp; Sentivity'!$K$122:$K$127</c:f>
              <c:numCache>
                <c:formatCode>_-* #\ ##0_-;\-* #\ ##0_-;_-* "-"??_-;_-@_-</c:formatCode>
                <c:ptCount val="6"/>
                <c:pt idx="0">
                  <c:v>28320.75</c:v>
                </c:pt>
                <c:pt idx="1">
                  <c:v>32247.75</c:v>
                </c:pt>
                <c:pt idx="2">
                  <c:v>32302.5</c:v>
                </c:pt>
                <c:pt idx="3">
                  <c:v>34569.479354254661</c:v>
                </c:pt>
                <c:pt idx="4">
                  <c:v>36995.554611074658</c:v>
                </c:pt>
                <c:pt idx="5">
                  <c:v>39591.891071178601</c:v>
                </c:pt>
              </c:numCache>
            </c:numRef>
          </c:val>
          <c:extLst>
            <c:ext xmlns:c16="http://schemas.microsoft.com/office/drawing/2014/chart" uri="{C3380CC4-5D6E-409C-BE32-E72D297353CC}">
              <c16:uniqueId val="{00000001-F71C-46E6-9EEA-4282CC5AFF29}"/>
            </c:ext>
          </c:extLst>
        </c:ser>
        <c:ser>
          <c:idx val="2"/>
          <c:order val="2"/>
          <c:tx>
            <c:v>Revenus B2C</c:v>
          </c:tx>
          <c:spPr>
            <a:solidFill>
              <a:schemeClr val="accent3"/>
            </a:solidFill>
            <a:ln>
              <a:noFill/>
            </a:ln>
            <a:effectLst/>
          </c:spPr>
          <c:invertIfNegative val="0"/>
          <c:val>
            <c:numRef>
              <c:f>'DCF &amp; Sentivity'!$M$122:$M$127</c:f>
              <c:numCache>
                <c:formatCode>0</c:formatCode>
                <c:ptCount val="6"/>
                <c:pt idx="0">
                  <c:v>9440.25</c:v>
                </c:pt>
                <c:pt idx="1">
                  <c:v>10749.25</c:v>
                </c:pt>
                <c:pt idx="2">
                  <c:v>10767.5</c:v>
                </c:pt>
                <c:pt idx="3">
                  <c:v>11523.159784751553</c:v>
                </c:pt>
                <c:pt idx="4">
                  <c:v>12331.851537024886</c:v>
                </c:pt>
                <c:pt idx="5">
                  <c:v>13197.2970237262</c:v>
                </c:pt>
              </c:numCache>
            </c:numRef>
          </c:val>
          <c:extLst>
            <c:ext xmlns:c16="http://schemas.microsoft.com/office/drawing/2014/chart" uri="{C3380CC4-5D6E-409C-BE32-E72D297353CC}">
              <c16:uniqueId val="{00000002-F71C-46E6-9EEA-4282CC5AFF29}"/>
            </c:ext>
          </c:extLst>
        </c:ser>
        <c:dLbls>
          <c:showLegendKey val="0"/>
          <c:showVal val="0"/>
          <c:showCatName val="0"/>
          <c:showSerName val="0"/>
          <c:showPercent val="0"/>
          <c:showBubbleSize val="0"/>
        </c:dLbls>
        <c:gapWidth val="150"/>
        <c:overlap val="100"/>
        <c:axId val="1079144079"/>
        <c:axId val="1079135919"/>
      </c:barChart>
      <c:catAx>
        <c:axId val="1079144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135919"/>
        <c:crosses val="autoZero"/>
        <c:auto val="1"/>
        <c:lblAlgn val="ctr"/>
        <c:lblOffset val="100"/>
        <c:noMultiLvlLbl val="0"/>
      </c:catAx>
      <c:valAx>
        <c:axId val="1079135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144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Revenues Projections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fr-FR"/>
        </a:p>
      </c:txPr>
    </c:title>
    <c:autoTitleDeleted val="0"/>
    <c:plotArea>
      <c:layout/>
      <c:barChart>
        <c:barDir val="col"/>
        <c:grouping val="clustered"/>
        <c:varyColors val="0"/>
        <c:ser>
          <c:idx val="0"/>
          <c:order val="0"/>
          <c:tx>
            <c:strRef>
              <c:f>'DCF &amp; Sentivity'!$M$9</c:f>
              <c:strCache>
                <c:ptCount val="1"/>
                <c:pt idx="0">
                  <c:v>Net Sales</c:v>
                </c:pt>
              </c:strCache>
            </c:strRef>
          </c:tx>
          <c:spPr>
            <a:solidFill>
              <a:schemeClr val="accent5">
                <a:lumMod val="60000"/>
                <a:lumOff val="40000"/>
              </a:schemeClr>
            </a:solidFill>
            <a:ln w="9525" cap="flat" cmpd="sng" algn="ctr">
              <a:solidFill>
                <a:schemeClr val="accent1">
                  <a:shade val="95000"/>
                </a:schemeClr>
              </a:solidFill>
              <a:round/>
            </a:ln>
            <a:effectLst/>
          </c:spPr>
          <c:invertIfNegative val="0"/>
          <c:dLbls>
            <c:numFmt formatCode="_-* #\ ##0_-;\-* #\ ##0_-;_-* &quot;-&quot;??_-;_-@_-"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'DCF &amp; Sentivity'!$N$8:$V$8</c:f>
              <c:numCache>
                <c:formatCode>General</c:formatCode>
                <c:ptCount val="9"/>
                <c:pt idx="0">
                  <c:v>2021</c:v>
                </c:pt>
                <c:pt idx="1">
                  <c:v>2022</c:v>
                </c:pt>
                <c:pt idx="2">
                  <c:v>2023</c:v>
                </c:pt>
                <c:pt idx="3">
                  <c:v>2024</c:v>
                </c:pt>
                <c:pt idx="4">
                  <c:v>2025</c:v>
                </c:pt>
                <c:pt idx="5">
                  <c:v>2026</c:v>
                </c:pt>
                <c:pt idx="6">
                  <c:v>2027</c:v>
                </c:pt>
                <c:pt idx="7">
                  <c:v>2028</c:v>
                </c:pt>
                <c:pt idx="8">
                  <c:v>2029</c:v>
                </c:pt>
              </c:numCache>
            </c:numRef>
          </c:cat>
          <c:val>
            <c:numRef>
              <c:f>'DCF &amp; Sentivity'!$N$9:$V$9</c:f>
              <c:numCache>
                <c:formatCode>_(* #\ ##0_);_(* \(#\ ##0\);_(* "-"??_);_(@_)</c:formatCode>
                <c:ptCount val="9"/>
                <c:pt idx="0">
                  <c:v>37761</c:v>
                </c:pt>
                <c:pt idx="1">
                  <c:v>42997</c:v>
                </c:pt>
                <c:pt idx="2">
                  <c:v>43070</c:v>
                </c:pt>
                <c:pt idx="3">
                  <c:v>46092.639139006213</c:v>
                </c:pt>
                <c:pt idx="4">
                  <c:v>48864.823302836907</c:v>
                </c:pt>
                <c:pt idx="5">
                  <c:v>51215.954274877491</c:v>
                </c:pt>
                <c:pt idx="6">
                  <c:v>53187.358785840501</c:v>
                </c:pt>
                <c:pt idx="7">
                  <c:v>54825.189036529351</c:v>
                </c:pt>
                <c:pt idx="8">
                  <c:v>55921.692817259936</c:v>
                </c:pt>
              </c:numCache>
            </c:numRef>
          </c:val>
          <c:extLst>
            <c:ext xmlns:c16="http://schemas.microsoft.com/office/drawing/2014/chart" uri="{C3380CC4-5D6E-409C-BE32-E72D297353CC}">
              <c16:uniqueId val="{00000000-8AC5-44C8-A0D2-AA6E2ED54A16}"/>
            </c:ext>
          </c:extLst>
        </c:ser>
        <c:dLbls>
          <c:dLblPos val="inEnd"/>
          <c:showLegendKey val="0"/>
          <c:showVal val="1"/>
          <c:showCatName val="0"/>
          <c:showSerName val="0"/>
          <c:showPercent val="0"/>
          <c:showBubbleSize val="0"/>
        </c:dLbls>
        <c:gapWidth val="100"/>
        <c:overlap val="-24"/>
        <c:axId val="1454493408"/>
        <c:axId val="1454493888"/>
      </c:barChart>
      <c:catAx>
        <c:axId val="145449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50000"/>
                    <a:lumOff val="50000"/>
                  </a:schemeClr>
                </a:solidFill>
                <a:latin typeface="+mn-lt"/>
                <a:ea typeface="+mn-ea"/>
                <a:cs typeface="+mn-cs"/>
              </a:defRPr>
            </a:pPr>
            <a:endParaRPr lang="fr-FR"/>
          </a:p>
        </c:txPr>
        <c:crossAx val="1454493888"/>
        <c:crosses val="autoZero"/>
        <c:auto val="1"/>
        <c:lblAlgn val="ctr"/>
        <c:lblOffset val="100"/>
        <c:noMultiLvlLbl val="0"/>
      </c:catAx>
      <c:valAx>
        <c:axId val="1454493888"/>
        <c:scaling>
          <c:orientation val="minMax"/>
        </c:scaling>
        <c:delete val="0"/>
        <c:axPos val="l"/>
        <c:numFmt formatCode="_(* #\ ##0_);_(* \(#\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50000"/>
                    <a:lumOff val="50000"/>
                  </a:schemeClr>
                </a:solidFill>
                <a:latin typeface="+mn-lt"/>
                <a:ea typeface="+mn-ea"/>
                <a:cs typeface="+mn-cs"/>
              </a:defRPr>
            </a:pPr>
            <a:endParaRPr lang="fr-FR"/>
          </a:p>
        </c:txPr>
        <c:crossAx val="145449340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Revenues</a:t>
            </a:r>
            <a:r>
              <a:rPr lang="en-US" b="1" baseline="0"/>
              <a:t> Projections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Feuil1!$B$3</c:f>
              <c:strCache>
                <c:ptCount val="1"/>
                <c:pt idx="0">
                  <c:v>Net Sales</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Feuil1!$C$2:$I$2</c:f>
              <c:strCache>
                <c:ptCount val="7"/>
                <c:pt idx="0">
                  <c:v>2021 A</c:v>
                </c:pt>
                <c:pt idx="1">
                  <c:v>2022 A</c:v>
                </c:pt>
                <c:pt idx="2">
                  <c:v>2023 A</c:v>
                </c:pt>
                <c:pt idx="3">
                  <c:v>2024 E</c:v>
                </c:pt>
                <c:pt idx="4">
                  <c:v>2025 E</c:v>
                </c:pt>
                <c:pt idx="5">
                  <c:v>2026 E</c:v>
                </c:pt>
                <c:pt idx="6">
                  <c:v>2027 E</c:v>
                </c:pt>
              </c:strCache>
            </c:strRef>
          </c:cat>
          <c:val>
            <c:numRef>
              <c:f>Feuil1!$C$3:$I$3</c:f>
              <c:numCache>
                <c:formatCode>#,##0</c:formatCode>
                <c:ptCount val="7"/>
                <c:pt idx="0">
                  <c:v>37761</c:v>
                </c:pt>
                <c:pt idx="1">
                  <c:v>42997</c:v>
                </c:pt>
                <c:pt idx="2">
                  <c:v>43070</c:v>
                </c:pt>
                <c:pt idx="3">
                  <c:v>45774</c:v>
                </c:pt>
                <c:pt idx="4">
                  <c:v>48648</c:v>
                </c:pt>
                <c:pt idx="5">
                  <c:v>51703</c:v>
                </c:pt>
                <c:pt idx="6">
                  <c:v>52737</c:v>
                </c:pt>
              </c:numCache>
            </c:numRef>
          </c:val>
          <c:extLst>
            <c:ext xmlns:c16="http://schemas.microsoft.com/office/drawing/2014/chart" uri="{C3380CC4-5D6E-409C-BE32-E72D297353CC}">
              <c16:uniqueId val="{00000000-0C6E-40D5-A2EC-C278E45A0826}"/>
            </c:ext>
          </c:extLst>
        </c:ser>
        <c:dLbls>
          <c:showLegendKey val="0"/>
          <c:showVal val="0"/>
          <c:showCatName val="0"/>
          <c:showSerName val="0"/>
          <c:showPercent val="0"/>
          <c:showBubbleSize val="0"/>
        </c:dLbls>
        <c:gapWidth val="90"/>
        <c:overlap val="-27"/>
        <c:axId val="1878242879"/>
        <c:axId val="1878241439"/>
      </c:barChart>
      <c:catAx>
        <c:axId val="1878242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fr-FR"/>
          </a:p>
        </c:txPr>
        <c:crossAx val="1878241439"/>
        <c:crosses val="autoZero"/>
        <c:auto val="1"/>
        <c:lblAlgn val="ctr"/>
        <c:lblOffset val="100"/>
        <c:noMultiLvlLbl val="0"/>
      </c:catAx>
      <c:valAx>
        <c:axId val="187824143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fr-FR"/>
          </a:p>
        </c:txPr>
        <c:crossAx val="1878242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0</xdr:colOff>
      <xdr:row>5</xdr:row>
      <xdr:rowOff>15875</xdr:rowOff>
    </xdr:from>
    <xdr:to>
      <xdr:col>11</xdr:col>
      <xdr:colOff>555625</xdr:colOff>
      <xdr:row>18</xdr:row>
      <xdr:rowOff>95250</xdr:rowOff>
    </xdr:to>
    <xdr:sp macro="" textlink="">
      <xdr:nvSpPr>
        <xdr:cNvPr id="2" name="ZoneTexte 1">
          <a:extLst>
            <a:ext uri="{FF2B5EF4-FFF2-40B4-BE49-F238E27FC236}">
              <a16:creationId xmlns:a16="http://schemas.microsoft.com/office/drawing/2014/main" id="{E13C6106-EAD8-F6F6-9532-52CEF5552963}"/>
            </a:ext>
          </a:extLst>
        </xdr:cNvPr>
        <xdr:cNvSpPr txBox="1"/>
      </xdr:nvSpPr>
      <xdr:spPr>
        <a:xfrm>
          <a:off x="9921875" y="1047750"/>
          <a:ext cx="6318250" cy="2762250"/>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fr-FR" sz="1400" b="1" i="0" u="none" strike="noStrike">
              <a:solidFill>
                <a:srgbClr val="FF0000"/>
              </a:solidFill>
              <a:effectLst/>
              <a:latin typeface="+mn-lt"/>
              <a:ea typeface="+mn-ea"/>
              <a:cs typeface="+mn-cs"/>
            </a:rPr>
            <a:t>DETTE / EBITDA </a:t>
          </a:r>
          <a:r>
            <a:rPr lang="fr-FR" sz="1400" b="0" i="0" u="none" strike="noStrike">
              <a:solidFill>
                <a:schemeClr val="dk1"/>
              </a:solidFill>
              <a:effectLst/>
              <a:latin typeface="+mn-lt"/>
              <a:ea typeface="+mn-ea"/>
              <a:cs typeface="+mn-cs"/>
            </a:rPr>
            <a:t>:</a:t>
          </a:r>
          <a:r>
            <a:rPr lang="fr-FR" sz="1400" b="0" i="0" u="none" strike="noStrike" baseline="0">
              <a:solidFill>
                <a:schemeClr val="dk1"/>
              </a:solidFill>
              <a:effectLst/>
              <a:latin typeface="+mn-lt"/>
              <a:ea typeface="+mn-ea"/>
              <a:cs typeface="+mn-cs"/>
            </a:rPr>
            <a:t> </a:t>
          </a:r>
          <a:r>
            <a:rPr lang="fr-FR" sz="1400" b="0" i="0" u="none" strike="noStrike">
              <a:solidFill>
                <a:schemeClr val="dk1"/>
              </a:solidFill>
              <a:effectLst/>
              <a:latin typeface="+mn-lt"/>
              <a:ea typeface="+mn-ea"/>
              <a:cs typeface="+mn-cs"/>
            </a:rPr>
            <a:t>Ce ratio mesure la capacité de l'entreprise à rembourser sa dette à partir de ses bénéfices avant intérêts, impôts, amortissements et amortissements (EBITDA). </a:t>
          </a:r>
        </a:p>
        <a:p>
          <a:pPr algn="l"/>
          <a:r>
            <a:rPr lang="fr-FR" sz="1400" b="0" i="0" u="none" strike="noStrike" kern="1200">
              <a:solidFill>
                <a:schemeClr val="dk1"/>
              </a:solidFill>
              <a:effectLst/>
              <a:latin typeface="+mn-lt"/>
              <a:ea typeface="+mn-ea"/>
              <a:cs typeface="+mn-cs"/>
            </a:rPr>
            <a:t>Ici il est faible car il est inférieur à 2</a:t>
          </a:r>
          <a:r>
            <a:rPr lang="fr-FR" sz="1400" b="0" i="0" u="none" strike="noStrike" kern="1200" baseline="0">
              <a:solidFill>
                <a:schemeClr val="dk1"/>
              </a:solidFill>
              <a:effectLst/>
              <a:latin typeface="+mn-lt"/>
              <a:ea typeface="+mn-ea"/>
              <a:cs typeface="+mn-cs"/>
            </a:rPr>
            <a:t> ce qui </a:t>
          </a:r>
          <a:r>
            <a:rPr lang="fr-FR" sz="1400" b="0" i="0" u="none" strike="noStrike">
              <a:solidFill>
                <a:schemeClr val="dk1"/>
              </a:solidFill>
              <a:effectLst/>
              <a:latin typeface="+mn-lt"/>
              <a:ea typeface="+mn-ea"/>
              <a:cs typeface="+mn-cs"/>
            </a:rPr>
            <a:t>signifie que l'entreprise génère suffisamment de bénéfices pour couvrir sa dette. </a:t>
          </a:r>
          <a:r>
            <a:rPr lang="fr-FR" sz="1400" b="0" i="0" u="none" strike="noStrike" baseline="0">
              <a:solidFill>
                <a:schemeClr val="dk1"/>
              </a:solidFill>
              <a:effectLst/>
              <a:latin typeface="+mn-lt"/>
              <a:ea typeface="+mn-ea"/>
              <a:cs typeface="+mn-cs"/>
            </a:rPr>
            <a:t> </a:t>
          </a:r>
          <a:r>
            <a:rPr lang="fr-FR" sz="1400" b="0" i="0" u="none" strike="noStrike" kern="1200">
              <a:solidFill>
                <a:schemeClr val="dk1"/>
              </a:solidFill>
              <a:effectLst/>
              <a:latin typeface="+mn-lt"/>
              <a:ea typeface="+mn-ea"/>
              <a:cs typeface="+mn-cs"/>
            </a:rPr>
            <a:t>Par ailleurs il diminue de plus en du fait de la diminution de la dette  financière.</a:t>
          </a:r>
        </a:p>
        <a:p>
          <a:pPr algn="l"/>
          <a:endParaRPr lang="fr-FR" sz="1400" b="0" i="0" u="none" strike="noStrike" kern="1200">
            <a:solidFill>
              <a:schemeClr val="dk1"/>
            </a:solidFill>
            <a:effectLst/>
            <a:latin typeface="+mn-lt"/>
            <a:ea typeface="+mn-ea"/>
            <a:cs typeface="+mn-cs"/>
          </a:endParaRPr>
        </a:p>
        <a:p>
          <a:pPr algn="l"/>
          <a:r>
            <a:rPr lang="fr-FR" sz="1400" b="1" i="0" u="none" strike="noStrike" kern="1200">
              <a:solidFill>
                <a:srgbClr val="FF0000"/>
              </a:solidFill>
              <a:effectLst/>
              <a:latin typeface="+mn-lt"/>
              <a:ea typeface="+mn-ea"/>
              <a:cs typeface="+mn-cs"/>
            </a:rPr>
            <a:t>DETTE / FOND PROPRE </a:t>
          </a:r>
          <a:r>
            <a:rPr lang="fr-FR" sz="1400" b="0" i="0" u="none" strike="noStrike" kern="1200">
              <a:solidFill>
                <a:schemeClr val="dk1"/>
              </a:solidFill>
              <a:effectLst/>
              <a:latin typeface="+mn-lt"/>
              <a:ea typeface="+mn-ea"/>
              <a:cs typeface="+mn-cs"/>
            </a:rPr>
            <a:t>: </a:t>
          </a:r>
          <a:r>
            <a:rPr lang="fr-FR" sz="1400" b="0" i="0" u="none" strike="noStrike">
              <a:solidFill>
                <a:schemeClr val="dk1"/>
              </a:solidFill>
              <a:effectLst/>
              <a:latin typeface="+mn-lt"/>
              <a:ea typeface="+mn-ea"/>
              <a:cs typeface="+mn-cs"/>
            </a:rPr>
            <a:t>Ce ratio mesure le niveau d'endettement par rapport aux fonds propres de l'entreprise. Ici cela</a:t>
          </a:r>
          <a:r>
            <a:rPr lang="fr-FR" sz="1400" b="0" i="0" u="none" strike="noStrike" baseline="0">
              <a:solidFill>
                <a:schemeClr val="dk1"/>
              </a:solidFill>
              <a:effectLst/>
              <a:latin typeface="+mn-lt"/>
              <a:ea typeface="+mn-ea"/>
              <a:cs typeface="+mn-cs"/>
            </a:rPr>
            <a:t> </a:t>
          </a:r>
          <a:r>
            <a:rPr lang="fr-FR" sz="1400" b="0" i="0" u="none" strike="noStrike">
              <a:solidFill>
                <a:schemeClr val="dk1"/>
              </a:solidFill>
              <a:effectLst/>
              <a:latin typeface="+mn-lt"/>
              <a:ea typeface="+mn-ea"/>
              <a:cs typeface="+mn-cs"/>
            </a:rPr>
            <a:t>signifie que l'entreprise a amélioré sa structure financière en diminuant la proportion de dette par rapport à ses fonds propres (diminution dette). L'entreprise est moins dépendante de l'endettement externe pour financer ses activités.</a:t>
          </a:r>
          <a:endParaRPr lang="fr-FR" sz="1400" kern="1200">
            <a:latin typeface="+mn-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521970</xdr:colOff>
      <xdr:row>6</xdr:row>
      <xdr:rowOff>60960</xdr:rowOff>
    </xdr:from>
    <xdr:to>
      <xdr:col>10</xdr:col>
      <xdr:colOff>826770</xdr:colOff>
      <xdr:row>20</xdr:row>
      <xdr:rowOff>30480</xdr:rowOff>
    </xdr:to>
    <xdr:graphicFrame macro="">
      <xdr:nvGraphicFramePr>
        <xdr:cNvPr id="2" name="Graphique 1">
          <a:extLst>
            <a:ext uri="{FF2B5EF4-FFF2-40B4-BE49-F238E27FC236}">
              <a16:creationId xmlns:a16="http://schemas.microsoft.com/office/drawing/2014/main" id="{3E565EF4-AB07-44F6-D52C-5E263D7E53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110490</xdr:colOff>
      <xdr:row>11</xdr:row>
      <xdr:rowOff>114300</xdr:rowOff>
    </xdr:from>
    <xdr:to>
      <xdr:col>5</xdr:col>
      <xdr:colOff>415290</xdr:colOff>
      <xdr:row>25</xdr:row>
      <xdr:rowOff>83820</xdr:rowOff>
    </xdr:to>
    <xdr:graphicFrame macro="">
      <xdr:nvGraphicFramePr>
        <xdr:cNvPr id="4" name="Graphique 3">
          <a:extLst>
            <a:ext uri="{FF2B5EF4-FFF2-40B4-BE49-F238E27FC236}">
              <a16:creationId xmlns:a16="http://schemas.microsoft.com/office/drawing/2014/main" id="{788E38F6-7FD9-0F89-645F-C653EDD2EF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257175</xdr:colOff>
      <xdr:row>10</xdr:row>
      <xdr:rowOff>137160</xdr:rowOff>
    </xdr:from>
    <xdr:to>
      <xdr:col>9</xdr:col>
      <xdr:colOff>561975</xdr:colOff>
      <xdr:row>24</xdr:row>
      <xdr:rowOff>106680</xdr:rowOff>
    </xdr:to>
    <xdr:graphicFrame macro="">
      <xdr:nvGraphicFramePr>
        <xdr:cNvPr id="5" name="Graphique 4">
          <a:extLst>
            <a:ext uri="{FF2B5EF4-FFF2-40B4-BE49-F238E27FC236}">
              <a16:creationId xmlns:a16="http://schemas.microsoft.com/office/drawing/2014/main" id="{4A9E26C9-76FB-4534-49B6-BE9557AB5E5B}"/>
            </a:ext>
            <a:ext uri="{147F2762-F138-4A5C-976F-8EAC2B608ADB}">
              <a16:predDERef xmlns:a16="http://schemas.microsoft.com/office/drawing/2014/main" pred="{788E38F6-7FD9-0F89-645F-C653EDD2EF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492124</xdr:colOff>
      <xdr:row>17</xdr:row>
      <xdr:rowOff>15875</xdr:rowOff>
    </xdr:from>
    <xdr:to>
      <xdr:col>11</xdr:col>
      <xdr:colOff>206374</xdr:colOff>
      <xdr:row>25</xdr:row>
      <xdr:rowOff>0</xdr:rowOff>
    </xdr:to>
    <xdr:sp macro="" textlink="">
      <xdr:nvSpPr>
        <xdr:cNvPr id="2" name="ZoneTexte 1">
          <a:extLst>
            <a:ext uri="{FF2B5EF4-FFF2-40B4-BE49-F238E27FC236}">
              <a16:creationId xmlns:a16="http://schemas.microsoft.com/office/drawing/2014/main" id="{AAB208CC-C7C0-04B7-BBCD-2EBE35DA0F08}"/>
            </a:ext>
          </a:extLst>
        </xdr:cNvPr>
        <xdr:cNvSpPr txBox="1"/>
      </xdr:nvSpPr>
      <xdr:spPr>
        <a:xfrm>
          <a:off x="8905874" y="3524250"/>
          <a:ext cx="4746625" cy="1635125"/>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400" b="0" i="0" u="none" strike="noStrike">
              <a:solidFill>
                <a:schemeClr val="dk1"/>
              </a:solidFill>
              <a:effectLst/>
              <a:latin typeface="+mn-lt"/>
              <a:ea typeface="+mn-ea"/>
              <a:cs typeface="+mn-cs"/>
            </a:rPr>
            <a:t>Les obligations offrent des financements stables à long terme, adaptés à ces besoins</a:t>
          </a:r>
          <a:r>
            <a:rPr lang="fr-FR" sz="1400" b="0" i="0" u="none" strike="noStrike" baseline="0">
              <a:solidFill>
                <a:schemeClr val="dk1"/>
              </a:solidFill>
              <a:effectLst/>
              <a:latin typeface="+mn-lt"/>
              <a:ea typeface="+mn-ea"/>
              <a:cs typeface="+mn-cs"/>
            </a:rPr>
            <a:t> ce qui est un avantage pour Sanofi qui mene des projets sur du long terme. De plus l'importance de Sanofi lui permet d'accéder a des financements a faibles taux  grace à la solidité reflétait dans ses notations de crédits.</a:t>
          </a:r>
        </a:p>
        <a:p>
          <a:r>
            <a:rPr lang="fr-FR" sz="1400" b="0" i="0" u="none" strike="noStrike" kern="1200" baseline="0">
              <a:solidFill>
                <a:schemeClr val="dk1"/>
              </a:solidFill>
              <a:effectLst/>
              <a:latin typeface="+mn-lt"/>
              <a:ea typeface="+mn-ea"/>
              <a:cs typeface="+mn-cs"/>
            </a:rPr>
            <a:t>Cependant cela peut exposer Sanofi a des problèmes du a un manque de liquidité sur les marchés financiers.</a:t>
          </a:r>
          <a:endParaRPr lang="fr-FR" sz="1400" kern="1200"/>
        </a:p>
      </xdr:txBody>
    </xdr:sp>
    <xdr:clientData/>
  </xdr:twoCellAnchor>
  <xdr:twoCellAnchor editAs="oneCell">
    <xdr:from>
      <xdr:col>0</xdr:col>
      <xdr:colOff>0</xdr:colOff>
      <xdr:row>18</xdr:row>
      <xdr:rowOff>47625</xdr:rowOff>
    </xdr:from>
    <xdr:to>
      <xdr:col>5</xdr:col>
      <xdr:colOff>74041</xdr:colOff>
      <xdr:row>25</xdr:row>
      <xdr:rowOff>142875</xdr:rowOff>
    </xdr:to>
    <xdr:pic>
      <xdr:nvPicPr>
        <xdr:cNvPr id="3" name="Image 2">
          <a:extLst>
            <a:ext uri="{FF2B5EF4-FFF2-40B4-BE49-F238E27FC236}">
              <a16:creationId xmlns:a16="http://schemas.microsoft.com/office/drawing/2014/main" id="{20338C56-BCDD-41C0-6822-589C7851780F}"/>
            </a:ext>
          </a:extLst>
        </xdr:cNvPr>
        <xdr:cNvPicPr>
          <a:picLocks noChangeAspect="1"/>
        </xdr:cNvPicPr>
      </xdr:nvPicPr>
      <xdr:blipFill>
        <a:blip xmlns:r="http://schemas.openxmlformats.org/officeDocument/2006/relationships" r:embed="rId1"/>
        <a:stretch>
          <a:fillRect/>
        </a:stretch>
      </xdr:blipFill>
      <xdr:spPr>
        <a:xfrm>
          <a:off x="0" y="3762375"/>
          <a:ext cx="8487791" cy="15398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11</xdr:col>
      <xdr:colOff>800100</xdr:colOff>
      <xdr:row>0</xdr:row>
      <xdr:rowOff>47625</xdr:rowOff>
    </xdr:from>
    <xdr:to>
      <xdr:col>14</xdr:col>
      <xdr:colOff>552450</xdr:colOff>
      <xdr:row>6</xdr:row>
      <xdr:rowOff>0</xdr:rowOff>
    </xdr:to>
    <xdr:sp macro="" textlink="">
      <xdr:nvSpPr>
        <xdr:cNvPr id="2" name="ZoneTexte 1">
          <a:extLst>
            <a:ext uri="{FF2B5EF4-FFF2-40B4-BE49-F238E27FC236}">
              <a16:creationId xmlns:a16="http://schemas.microsoft.com/office/drawing/2014/main" id="{C639649B-737F-400D-9604-E34C8B319A21}"/>
            </a:ext>
          </a:extLst>
        </xdr:cNvPr>
        <xdr:cNvSpPr txBox="1"/>
      </xdr:nvSpPr>
      <xdr:spPr>
        <a:xfrm>
          <a:off x="11734800" y="47625"/>
          <a:ext cx="2266950" cy="1152525"/>
        </a:xfrm>
        <a:prstGeom prst="rect">
          <a:avLst/>
        </a:prstGeom>
        <a:solidFill>
          <a:srgbClr val="FFFF00"/>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000000"/>
              </a:solidFill>
              <a:latin typeface="Aptos Narrow" panose="020B0004020202020204" pitchFamily="34" charset="0"/>
            </a:rPr>
            <a:t>                         </a:t>
          </a:r>
          <a:r>
            <a:rPr lang="en-US" sz="900" b="0" i="0" u="none" strike="noStrike">
              <a:solidFill>
                <a:srgbClr val="000000"/>
              </a:solidFill>
              <a:latin typeface="Aptos Narrow" panose="020B0004020202020204" pitchFamily="34" charset="0"/>
            </a:rPr>
            <a:t>   </a:t>
          </a:r>
          <a:r>
            <a:rPr lang="en-US" sz="900" b="1" i="0" u="none" strike="noStrike">
              <a:solidFill>
                <a:srgbClr val="000000"/>
              </a:solidFill>
              <a:latin typeface="Aptos Narrow" panose="020B0004020202020204" pitchFamily="34" charset="0"/>
            </a:rPr>
            <a:t> </a:t>
          </a:r>
          <a:r>
            <a:rPr lang="en-US" sz="900" b="1">
              <a:latin typeface="+mn-lt"/>
              <a:ea typeface="+mn-lt"/>
              <a:cs typeface="+mn-lt"/>
            </a:rPr>
            <a:t>Profitability Ratios</a:t>
          </a:r>
          <a:r>
            <a:rPr lang="en-US" sz="900">
              <a:latin typeface="+mn-lt"/>
              <a:ea typeface="+mn-lt"/>
              <a:cs typeface="+mn-lt"/>
            </a:rPr>
            <a:t> </a:t>
          </a:r>
          <a:r>
            <a:rPr lang="en-US" sz="900" b="0" i="0" u="none" strike="noStrike">
              <a:solidFill>
                <a:srgbClr val="000000"/>
              </a:solidFill>
              <a:latin typeface="Aptos Narrow" panose="020B0004020202020204" pitchFamily="34" charset="0"/>
            </a:rPr>
            <a:t>:</a:t>
          </a:r>
        </a:p>
        <a:p>
          <a:pPr marL="0" indent="0" algn="l"/>
          <a:endParaRPr lang="en-US" sz="900" b="0" i="0" u="none" strike="noStrike">
            <a:solidFill>
              <a:srgbClr val="000000"/>
            </a:solidFill>
            <a:latin typeface="Aptos Narrow" panose="020B0004020202020204" pitchFamily="34" charset="0"/>
          </a:endParaRPr>
        </a:p>
        <a:p>
          <a:pPr marL="0" indent="0" algn="l"/>
          <a:r>
            <a:rPr lang="en-US" sz="900" b="0" i="0" u="none" strike="noStrike">
              <a:solidFill>
                <a:srgbClr val="000000"/>
              </a:solidFill>
              <a:latin typeface="Aptos Narrow" panose="020B0004020202020204" pitchFamily="34" charset="0"/>
            </a:rPr>
            <a:t>Gross Margin = Gross Profit/Sales</a:t>
          </a:r>
        </a:p>
        <a:p>
          <a:pPr marL="0" indent="0" algn="l"/>
          <a:endParaRPr lang="en-US" sz="900" b="0" i="0" u="none" strike="noStrike">
            <a:solidFill>
              <a:srgbClr val="000000"/>
            </a:solidFill>
            <a:latin typeface="Aptos Narrow" panose="020B0004020202020204" pitchFamily="34" charset="0"/>
          </a:endParaRPr>
        </a:p>
        <a:p>
          <a:pPr marL="0" indent="0" algn="l"/>
          <a:r>
            <a:rPr lang="en-US" sz="900" b="0" i="0" u="none" strike="noStrike">
              <a:solidFill>
                <a:srgbClr val="000000"/>
              </a:solidFill>
              <a:latin typeface="Aptos Narrow" panose="020B0004020202020204" pitchFamily="34" charset="0"/>
            </a:rPr>
            <a:t>Operating  Margin = Operating Income/Sales </a:t>
          </a:r>
        </a:p>
        <a:p>
          <a:pPr marL="0" indent="0" algn="l"/>
          <a:endParaRPr lang="en-US" sz="900" b="0" i="0" u="none" strike="noStrike">
            <a:solidFill>
              <a:srgbClr val="000000"/>
            </a:solidFill>
            <a:latin typeface="Aptos Narrow" panose="020B0004020202020204" pitchFamily="34" charset="0"/>
          </a:endParaRPr>
        </a:p>
        <a:p>
          <a:pPr marL="0" indent="0" algn="l"/>
          <a:r>
            <a:rPr lang="en-US" sz="900" b="0" i="0" u="none" strike="noStrike">
              <a:solidFill>
                <a:srgbClr val="000000"/>
              </a:solidFill>
              <a:latin typeface="Aptos Narrow" panose="020B0004020202020204" pitchFamily="34" charset="0"/>
            </a:rPr>
            <a:t>Net Profit Margin = Net Income/Sales</a:t>
          </a:r>
        </a:p>
      </xdr:txBody>
    </xdr:sp>
    <xdr:clientData/>
  </xdr:twoCellAnchor>
  <xdr:twoCellAnchor>
    <xdr:from>
      <xdr:col>11</xdr:col>
      <xdr:colOff>533400</xdr:colOff>
      <xdr:row>6</xdr:row>
      <xdr:rowOff>38100</xdr:rowOff>
    </xdr:from>
    <xdr:to>
      <xdr:col>15</xdr:col>
      <xdr:colOff>47625</xdr:colOff>
      <xdr:row>11</xdr:row>
      <xdr:rowOff>9525</xdr:rowOff>
    </xdr:to>
    <xdr:sp macro="" textlink="">
      <xdr:nvSpPr>
        <xdr:cNvPr id="3" name="ZoneTexte 2">
          <a:extLst>
            <a:ext uri="{FF2B5EF4-FFF2-40B4-BE49-F238E27FC236}">
              <a16:creationId xmlns:a16="http://schemas.microsoft.com/office/drawing/2014/main" id="{9E1DED44-2539-413E-ADA8-245E6E031A2C}"/>
            </a:ext>
            <a:ext uri="{147F2762-F138-4A5C-976F-8EAC2B608ADB}">
              <a16:predDERef xmlns:a16="http://schemas.microsoft.com/office/drawing/2014/main" pred="{C639649B-737F-400D-9604-E34C8B319A21}"/>
            </a:ext>
          </a:extLst>
        </xdr:cNvPr>
        <xdr:cNvSpPr txBox="1"/>
      </xdr:nvSpPr>
      <xdr:spPr>
        <a:xfrm>
          <a:off x="11468100" y="1238250"/>
          <a:ext cx="2867025" cy="971550"/>
        </a:xfrm>
        <a:prstGeom prst="rect">
          <a:avLst/>
        </a:prstGeom>
        <a:solidFill>
          <a:srgbClr val="FFFF00"/>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000000"/>
              </a:solidFill>
              <a:latin typeface="Aptos Narrow" panose="020B0004020202020204" pitchFamily="34" charset="0"/>
            </a:rPr>
            <a:t>                                   </a:t>
          </a:r>
          <a:r>
            <a:rPr lang="en-US" sz="900" b="1">
              <a:latin typeface="+mn-lt"/>
              <a:ea typeface="+mn-lt"/>
              <a:cs typeface="+mn-lt"/>
            </a:rPr>
            <a:t>Operating Returns</a:t>
          </a:r>
          <a:r>
            <a:rPr lang="en-US" sz="900" b="1" i="0" u="none" strike="noStrike">
              <a:solidFill>
                <a:srgbClr val="000000"/>
              </a:solidFill>
              <a:latin typeface="Aptos Narrow" panose="020B0004020202020204" pitchFamily="34" charset="0"/>
            </a:rPr>
            <a:t>:</a:t>
          </a:r>
          <a:endParaRPr lang="en-US" sz="900" b="1" i="0" u="none" strike="noStrike">
            <a:solidFill>
              <a:srgbClr val="000000"/>
            </a:solidFill>
            <a:latin typeface="+mn-lt"/>
            <a:ea typeface="+mn-lt"/>
            <a:cs typeface="+mn-lt"/>
          </a:endParaRPr>
        </a:p>
        <a:p>
          <a:pPr marL="0" indent="0" algn="l"/>
          <a:endParaRPr lang="en-US" sz="900">
            <a:latin typeface="+mn-lt"/>
            <a:ea typeface="+mn-lt"/>
            <a:cs typeface="+mn-lt"/>
          </a:endParaRPr>
        </a:p>
        <a:p>
          <a:pPr marL="0" indent="0" algn="l"/>
          <a:r>
            <a:rPr lang="en-US" sz="900">
              <a:latin typeface="+mn-lt"/>
              <a:ea typeface="+mn-lt"/>
              <a:cs typeface="+mn-lt"/>
            </a:rPr>
            <a:t>ROE (Return on Equity) = </a:t>
          </a:r>
          <a:r>
            <a:rPr lang="en-US" sz="900" b="0" i="0" u="none" strike="noStrike">
              <a:solidFill>
                <a:srgbClr val="000000"/>
              </a:solidFill>
              <a:latin typeface="Aptos Narrow" panose="020B0004020202020204" pitchFamily="34" charset="0"/>
            </a:rPr>
            <a:t>Net Income/Book Value Of Equity</a:t>
          </a:r>
          <a:endParaRPr lang="en-US" sz="900" b="0" i="0" u="none" strike="noStrike">
            <a:solidFill>
              <a:srgbClr val="000000"/>
            </a:solidFill>
            <a:latin typeface="+mn-lt"/>
            <a:ea typeface="+mn-lt"/>
            <a:cs typeface="+mn-lt"/>
          </a:endParaRPr>
        </a:p>
        <a:p>
          <a:pPr marL="0" indent="0" algn="l"/>
          <a:endParaRPr lang="en-US" sz="900">
            <a:latin typeface="+mn-lt"/>
            <a:ea typeface="+mn-lt"/>
            <a:cs typeface="+mn-lt"/>
          </a:endParaRPr>
        </a:p>
        <a:p>
          <a:pPr marL="0" indent="0" algn="l"/>
          <a:r>
            <a:rPr lang="en-US" sz="900">
              <a:latin typeface="+mn-lt"/>
              <a:ea typeface="+mn-lt"/>
              <a:cs typeface="+mn-lt"/>
            </a:rPr>
            <a:t>ROA (Return on Assets) = </a:t>
          </a:r>
          <a:r>
            <a:rPr lang="en-US" sz="900" b="0" i="0" u="none" strike="noStrike">
              <a:solidFill>
                <a:srgbClr val="000000"/>
              </a:solidFill>
              <a:latin typeface="Aptos Narrow" panose="020B0004020202020204" pitchFamily="34" charset="0"/>
            </a:rPr>
            <a:t>Net Income+Interest Expense/Book Value Of Equity</a:t>
          </a:r>
        </a:p>
        <a:p>
          <a:pPr marL="0" indent="0" algn="l"/>
          <a:endParaRPr lang="en-US" sz="1100">
            <a:latin typeface="+mn-lt"/>
            <a:ea typeface="+mn-lt"/>
            <a:cs typeface="+mn-lt"/>
          </a:endParaRPr>
        </a:p>
        <a:p>
          <a:pPr marL="0" indent="0" algn="l"/>
          <a:endParaRPr lang="en-US" sz="1100">
            <a:latin typeface="+mn-lt"/>
            <a:ea typeface="+mn-lt"/>
            <a:cs typeface="+mn-lt"/>
          </a:endParaRPr>
        </a:p>
      </xdr:txBody>
    </xdr:sp>
    <xdr:clientData/>
  </xdr:twoCellAnchor>
  <xdr:twoCellAnchor>
    <xdr:from>
      <xdr:col>11</xdr:col>
      <xdr:colOff>809625</xdr:colOff>
      <xdr:row>11</xdr:row>
      <xdr:rowOff>114300</xdr:rowOff>
    </xdr:from>
    <xdr:to>
      <xdr:col>14</xdr:col>
      <xdr:colOff>590550</xdr:colOff>
      <xdr:row>15</xdr:row>
      <xdr:rowOff>38100</xdr:rowOff>
    </xdr:to>
    <xdr:sp macro="" textlink="">
      <xdr:nvSpPr>
        <xdr:cNvPr id="4" name="ZoneTexte 3">
          <a:extLst>
            <a:ext uri="{FF2B5EF4-FFF2-40B4-BE49-F238E27FC236}">
              <a16:creationId xmlns:a16="http://schemas.microsoft.com/office/drawing/2014/main" id="{80F788AA-ED1E-430E-AFC6-541C8502D66B}"/>
            </a:ext>
            <a:ext uri="{147F2762-F138-4A5C-976F-8EAC2B608ADB}">
              <a16:predDERef xmlns:a16="http://schemas.microsoft.com/office/drawing/2014/main" pred="{9E1DED44-2539-413E-ADA8-245E6E031A2C}"/>
            </a:ext>
          </a:extLst>
        </xdr:cNvPr>
        <xdr:cNvSpPr txBox="1"/>
      </xdr:nvSpPr>
      <xdr:spPr>
        <a:xfrm>
          <a:off x="11744325" y="2314575"/>
          <a:ext cx="2295525" cy="723900"/>
        </a:xfrm>
        <a:prstGeom prst="rect">
          <a:avLst/>
        </a:prstGeom>
        <a:solidFill>
          <a:srgbClr val="FFFF00"/>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1" i="0" u="none" strike="noStrike">
              <a:solidFill>
                <a:srgbClr val="000000"/>
              </a:solidFill>
              <a:latin typeface="Aptos Narrow" panose="020B0004020202020204" pitchFamily="34" charset="0"/>
            </a:rPr>
            <a:t>            </a:t>
          </a:r>
          <a:r>
            <a:rPr lang="en-US" sz="900" b="1" i="0" u="none" strike="noStrike">
              <a:solidFill>
                <a:srgbClr val="000000"/>
              </a:solidFill>
              <a:latin typeface="Aptos Narrow" panose="020B0004020202020204" pitchFamily="34" charset="0"/>
            </a:rPr>
            <a:t>  </a:t>
          </a:r>
          <a:r>
            <a:rPr lang="en-US" sz="900" b="1">
              <a:latin typeface="+mn-lt"/>
              <a:ea typeface="+mn-lt"/>
              <a:cs typeface="+mn-lt"/>
            </a:rPr>
            <a:t>Stockholder’s Equity</a:t>
          </a:r>
          <a:r>
            <a:rPr lang="en-US" sz="900" b="1" i="0" u="none" strike="noStrike">
              <a:solidFill>
                <a:srgbClr val="000000"/>
              </a:solidFill>
              <a:latin typeface="Aptos Narrow" panose="020B0004020202020204" pitchFamily="34" charset="0"/>
            </a:rPr>
            <a:t>:</a:t>
          </a:r>
          <a:endParaRPr lang="en-US" sz="900" b="0" i="0" u="none" strike="noStrike">
            <a:solidFill>
              <a:srgbClr val="000000"/>
            </a:solidFill>
            <a:latin typeface="Aptos Narrow" panose="020B0004020202020204" pitchFamily="34" charset="0"/>
          </a:endParaRPr>
        </a:p>
        <a:p>
          <a:pPr marL="0" indent="0" algn="l"/>
          <a:endParaRPr lang="en-US" sz="900" b="0" i="0" u="none" strike="noStrike">
            <a:solidFill>
              <a:srgbClr val="000000"/>
            </a:solidFill>
            <a:latin typeface="Aptos Narrow" panose="020B0004020202020204" pitchFamily="34" charset="0"/>
          </a:endParaRPr>
        </a:p>
        <a:p>
          <a:pPr marL="0" marR="0" indent="0" algn="l">
            <a:lnSpc>
              <a:spcPct val="100000"/>
            </a:lnSpc>
            <a:spcBef>
              <a:spcPts val="0"/>
            </a:spcBef>
            <a:spcAft>
              <a:spcPts val="0"/>
            </a:spcAft>
          </a:pPr>
          <a:r>
            <a:rPr lang="en-US" sz="900" b="0" i="0" u="none" strike="noStrike">
              <a:solidFill>
                <a:srgbClr val="000000"/>
              </a:solidFill>
              <a:latin typeface="Aptos Narrow" panose="020B0004020202020204" pitchFamily="34" charset="0"/>
            </a:rPr>
            <a:t>Book Value Of Equity = Book Value Of Assets - Book Value Of Liabilities</a:t>
          </a:r>
        </a:p>
      </xdr:txBody>
    </xdr:sp>
    <xdr:clientData/>
  </xdr:twoCellAnchor>
  <xdr:twoCellAnchor>
    <xdr:from>
      <xdr:col>7</xdr:col>
      <xdr:colOff>533400</xdr:colOff>
      <xdr:row>0</xdr:row>
      <xdr:rowOff>38100</xdr:rowOff>
    </xdr:from>
    <xdr:to>
      <xdr:col>11</xdr:col>
      <xdr:colOff>419100</xdr:colOff>
      <xdr:row>14</xdr:row>
      <xdr:rowOff>57150</xdr:rowOff>
    </xdr:to>
    <xdr:sp macro="" textlink="">
      <xdr:nvSpPr>
        <xdr:cNvPr id="5" name="ZoneTexte 4">
          <a:extLst>
            <a:ext uri="{FF2B5EF4-FFF2-40B4-BE49-F238E27FC236}">
              <a16:creationId xmlns:a16="http://schemas.microsoft.com/office/drawing/2014/main" id="{DBC15ED6-2B18-46F0-8C2F-D41F3598A428}"/>
            </a:ext>
            <a:ext uri="{147F2762-F138-4A5C-976F-8EAC2B608ADB}">
              <a16:predDERef xmlns:a16="http://schemas.microsoft.com/office/drawing/2014/main" pred="{80F788AA-ED1E-430E-AFC6-541C8502D66B}"/>
            </a:ext>
          </a:extLst>
        </xdr:cNvPr>
        <xdr:cNvSpPr txBox="1"/>
      </xdr:nvSpPr>
      <xdr:spPr>
        <a:xfrm>
          <a:off x="8143875" y="38100"/>
          <a:ext cx="3276600" cy="2686050"/>
        </a:xfrm>
        <a:prstGeom prst="rect">
          <a:avLst/>
        </a:prstGeom>
        <a:solidFill>
          <a:schemeClr val="bg2">
            <a:lumMod val="90000"/>
          </a:schemeClr>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900" b="1">
              <a:latin typeface="+mn-lt"/>
              <a:ea typeface="+mn-lt"/>
              <a:cs typeface="+mn-lt"/>
            </a:rPr>
            <a:t>Gross Margin:</a:t>
          </a:r>
          <a:endParaRPr lang="en-US" sz="900" b="0">
            <a:latin typeface="+mn-lt"/>
            <a:ea typeface="+mn-lt"/>
            <a:cs typeface="+mn-lt"/>
          </a:endParaRPr>
        </a:p>
        <a:p>
          <a:pPr marL="0" indent="0" algn="l"/>
          <a:r>
            <a:rPr lang="en-US" sz="900" b="0">
              <a:latin typeface="+mn-lt"/>
              <a:ea typeface="+mn-lt"/>
              <a:cs typeface="+mn-lt"/>
            </a:rPr>
            <a:t>This margin has slightly increased each year, rising from 71.29% in 2021 to 74.78% in 2023. This reflects an improvement in the company's gross efficiency in managing its direct costs (cost of goods sold).</a:t>
          </a:r>
        </a:p>
        <a:p>
          <a:pPr marL="0" indent="0" algn="l"/>
          <a:endParaRPr lang="en-US" sz="900" b="1">
            <a:latin typeface="+mn-lt"/>
            <a:ea typeface="+mn-lt"/>
            <a:cs typeface="+mn-lt"/>
          </a:endParaRPr>
        </a:p>
        <a:p>
          <a:pPr marL="0" indent="0" algn="l"/>
          <a:r>
            <a:rPr lang="en-US" sz="900" b="1">
              <a:latin typeface="+mn-lt"/>
              <a:ea typeface="+mn-lt"/>
              <a:cs typeface="+mn-lt"/>
            </a:rPr>
            <a:t>Operating Margin:</a:t>
          </a:r>
          <a:endParaRPr lang="en-US" sz="900" b="0">
            <a:latin typeface="+mn-lt"/>
            <a:ea typeface="+mn-lt"/>
            <a:cs typeface="+mn-lt"/>
          </a:endParaRPr>
        </a:p>
        <a:p>
          <a:pPr marL="0" indent="0" algn="l"/>
          <a:r>
            <a:rPr lang="en-US" sz="900" b="0">
              <a:latin typeface="+mn-lt"/>
              <a:ea typeface="+mn-lt"/>
              <a:cs typeface="+mn-lt"/>
            </a:rPr>
            <a:t>After a notable rise in 2022 (from 21.52% in 2021 to 24.78%), the operating margin dropped significantly to 18.28% in 2023. This could indicate an increase in operating costs or a decrease in net operating income.</a:t>
          </a:r>
          <a:endParaRPr lang="en-US" sz="900" b="1">
            <a:latin typeface="+mn-lt"/>
            <a:ea typeface="+mn-lt"/>
            <a:cs typeface="+mn-lt"/>
          </a:endParaRPr>
        </a:p>
        <a:p>
          <a:pPr marL="0" indent="0" algn="l"/>
          <a:endParaRPr lang="en-US" sz="900" b="1">
            <a:latin typeface="+mn-lt"/>
            <a:ea typeface="+mn-lt"/>
            <a:cs typeface="+mn-lt"/>
          </a:endParaRPr>
        </a:p>
        <a:p>
          <a:pPr marL="0" indent="0" algn="l"/>
          <a:r>
            <a:rPr lang="en-US" sz="900" b="1">
              <a:latin typeface="+mn-lt"/>
              <a:ea typeface="+mn-lt"/>
              <a:cs typeface="+mn-lt"/>
            </a:rPr>
            <a:t>Net Profit Margin:</a:t>
          </a:r>
          <a:endParaRPr lang="en-US" sz="900" b="0">
            <a:latin typeface="+mn-lt"/>
            <a:ea typeface="+mn-lt"/>
            <a:cs typeface="+mn-lt"/>
          </a:endParaRPr>
        </a:p>
        <a:p>
          <a:pPr marL="0" indent="0" algn="l"/>
          <a:r>
            <a:rPr lang="en-US" sz="900" b="0">
              <a:latin typeface="+mn-lt"/>
              <a:ea typeface="+mn-lt"/>
              <a:cs typeface="+mn-lt"/>
            </a:rPr>
            <a:t>The net profit margin follows a similar trajectory to the operating margin. It increased from 16.63% in 2021 to 19.73% in 2022, then dropped sharply to 12.62% in 2023. This could signal an increase in financial, tax, or other non-operating expenses.</a:t>
          </a:r>
        </a:p>
      </xdr:txBody>
    </xdr:sp>
    <xdr:clientData/>
  </xdr:twoCellAnchor>
  <xdr:twoCellAnchor>
    <xdr:from>
      <xdr:col>9</xdr:col>
      <xdr:colOff>123825</xdr:colOff>
      <xdr:row>15</xdr:row>
      <xdr:rowOff>133350</xdr:rowOff>
    </xdr:from>
    <xdr:to>
      <xdr:col>15</xdr:col>
      <xdr:colOff>114300</xdr:colOff>
      <xdr:row>30</xdr:row>
      <xdr:rowOff>0</xdr:rowOff>
    </xdr:to>
    <xdr:sp macro="" textlink="">
      <xdr:nvSpPr>
        <xdr:cNvPr id="6" name="ZoneTexte 5">
          <a:extLst>
            <a:ext uri="{FF2B5EF4-FFF2-40B4-BE49-F238E27FC236}">
              <a16:creationId xmlns:a16="http://schemas.microsoft.com/office/drawing/2014/main" id="{C6246694-7340-A369-B6AE-9EB3D7FB8C0D}"/>
            </a:ext>
            <a:ext uri="{147F2762-F138-4A5C-976F-8EAC2B608ADB}">
              <a16:predDERef xmlns:a16="http://schemas.microsoft.com/office/drawing/2014/main" pred="{DBC15ED6-2B18-46F0-8C2F-D41F3598A428}"/>
            </a:ext>
          </a:extLst>
        </xdr:cNvPr>
        <xdr:cNvSpPr txBox="1"/>
      </xdr:nvSpPr>
      <xdr:spPr>
        <a:xfrm>
          <a:off x="9601200" y="2990850"/>
          <a:ext cx="4867275" cy="2343150"/>
        </a:xfrm>
        <a:prstGeom prst="rect">
          <a:avLst/>
        </a:prstGeom>
        <a:solidFill>
          <a:schemeClr val="accent2">
            <a:lumMod val="60000"/>
            <a:lumOff val="40000"/>
          </a:schemeClr>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0">
              <a:latin typeface="+mn-lt"/>
              <a:ea typeface="+mn-lt"/>
              <a:cs typeface="+mn-lt"/>
            </a:rPr>
            <a:t>2021: An ROA of 9% and an ROE of 9.10% indicate moderate profitability.</a:t>
          </a:r>
        </a:p>
        <a:p>
          <a:pPr marL="0" indent="0" algn="l"/>
          <a:r>
            <a:rPr lang="en-US" sz="1100" b="0">
              <a:latin typeface="+mn-lt"/>
              <a:ea typeface="+mn-lt"/>
              <a:cs typeface="+mn-lt"/>
            </a:rPr>
            <a:t>2022: Improvement with an ROA of 11% and an ROE of 11.29%, showing better utilization of assets and equity to generate profits.</a:t>
          </a:r>
        </a:p>
        <a:p>
          <a:pPr marL="0" indent="0" algn="l"/>
          <a:r>
            <a:rPr lang="en-US" sz="1100" b="0">
              <a:latin typeface="+mn-lt"/>
              <a:ea typeface="+mn-lt"/>
              <a:cs typeface="+mn-lt"/>
            </a:rPr>
            <a:t>2023: Sharp decline, with an ROA of 5.54% and an ROE of 7.31%. This could be due to a drop in revenue, increased costs, or structural issues.</a:t>
          </a:r>
        </a:p>
        <a:p>
          <a:pPr marL="0" indent="0" algn="l"/>
          <a:endParaRPr lang="en-US" sz="1100" b="0">
            <a:latin typeface="+mn-lt"/>
            <a:ea typeface="+mn-lt"/>
            <a:cs typeface="+mn-lt"/>
          </a:endParaRPr>
        </a:p>
        <a:p>
          <a:pPr marL="0" indent="0" algn="l"/>
          <a:r>
            <a:rPr lang="en-US" sz="1100" b="0">
              <a:latin typeface="+mn-lt"/>
              <a:ea typeface="+mn-lt"/>
              <a:cs typeface="+mn-lt"/>
            </a:rPr>
            <a:t>Relationship between ROA and ROE:</a:t>
          </a:r>
        </a:p>
        <a:p>
          <a:pPr marL="0" indent="0" algn="l"/>
          <a:r>
            <a:rPr lang="en-US" sz="1100" b="0">
              <a:latin typeface="+mn-lt"/>
              <a:ea typeface="+mn-lt"/>
              <a:cs typeface="+mn-lt"/>
            </a:rPr>
            <a:t>ROE is always slightly higher than ROA, as expected, because financial leverage amplifies returns for shareholders.</a:t>
          </a:r>
        </a:p>
        <a:p>
          <a:pPr marL="0" indent="0" algn="l"/>
          <a:r>
            <a:rPr lang="en-US" sz="1100" b="0">
              <a:latin typeface="+mn-lt"/>
              <a:ea typeface="+mn-lt"/>
              <a:cs typeface="+mn-lt"/>
            </a:rPr>
            <a:t>However, the decline in both ratios in 2023 could indicate that the company has lost operational efficiency or that high financial expenses have reduced the ROE.</a:t>
          </a:r>
        </a:p>
      </xdr:txBody>
    </xdr:sp>
    <xdr:clientData/>
  </xdr:twoCellAnchor>
  <xdr:twoCellAnchor>
    <xdr:from>
      <xdr:col>0</xdr:col>
      <xdr:colOff>0</xdr:colOff>
      <xdr:row>14</xdr:row>
      <xdr:rowOff>142875</xdr:rowOff>
    </xdr:from>
    <xdr:to>
      <xdr:col>4</xdr:col>
      <xdr:colOff>981075</xdr:colOff>
      <xdr:row>33</xdr:row>
      <xdr:rowOff>19050</xdr:rowOff>
    </xdr:to>
    <xdr:graphicFrame macro="">
      <xdr:nvGraphicFramePr>
        <xdr:cNvPr id="21" name="Graphique 20" descr="Type de graphique : Courbes. « Gross Margin », « Operating Margin », « Net Profit Margin » par « Year »&#10;&#10;Description générée automatiquement">
          <a:extLst>
            <a:ext uri="{FF2B5EF4-FFF2-40B4-BE49-F238E27FC236}">
              <a16:creationId xmlns:a16="http://schemas.microsoft.com/office/drawing/2014/main" id="{E1F8FDEE-B3F2-B8D2-FADE-E24774C5FCBC}"/>
            </a:ext>
            <a:ext uri="{147F2762-F138-4A5C-976F-8EAC2B608ADB}">
              <a16:predDERef xmlns:a16="http://schemas.microsoft.com/office/drawing/2014/main" pred="{C6246694-7340-A369-B6AE-9EB3D7FB8C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1190625</xdr:colOff>
      <xdr:row>16</xdr:row>
      <xdr:rowOff>133350</xdr:rowOff>
    </xdr:from>
    <xdr:to>
      <xdr:col>8</xdr:col>
      <xdr:colOff>561975</xdr:colOff>
      <xdr:row>33</xdr:row>
      <xdr:rowOff>19050</xdr:rowOff>
    </xdr:to>
    <xdr:graphicFrame macro="">
      <xdr:nvGraphicFramePr>
        <xdr:cNvPr id="22" name="Graphique 21" descr="Type de graphique : Histogramme groupé. « ROA », « ROE » par « Year »&#10;&#10;Description générée automatiquement">
          <a:extLst>
            <a:ext uri="{FF2B5EF4-FFF2-40B4-BE49-F238E27FC236}">
              <a16:creationId xmlns:a16="http://schemas.microsoft.com/office/drawing/2014/main" id="{B725A8C7-3344-016A-47F6-25A051E910AD}"/>
            </a:ext>
            <a:ext uri="{147F2762-F138-4A5C-976F-8EAC2B608ADB}">
              <a16:predDERef xmlns:a16="http://schemas.microsoft.com/office/drawing/2014/main" pred="{E1F8FDEE-B3F2-B8D2-FADE-E24774C5FC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644187</xdr:colOff>
      <xdr:row>105</xdr:row>
      <xdr:rowOff>95250</xdr:rowOff>
    </xdr:from>
    <xdr:to>
      <xdr:col>18</xdr:col>
      <xdr:colOff>668865</xdr:colOff>
      <xdr:row>118</xdr:row>
      <xdr:rowOff>29356</xdr:rowOff>
    </xdr:to>
    <xdr:pic>
      <xdr:nvPicPr>
        <xdr:cNvPr id="2" name="Image 1">
          <a:extLst>
            <a:ext uri="{FF2B5EF4-FFF2-40B4-BE49-F238E27FC236}">
              <a16:creationId xmlns:a16="http://schemas.microsoft.com/office/drawing/2014/main" id="{790376E5-3ED6-415E-90A0-07CA6ADF8E67}"/>
            </a:ext>
          </a:extLst>
        </xdr:cNvPr>
        <xdr:cNvPicPr>
          <a:picLocks noChangeAspect="1"/>
        </xdr:cNvPicPr>
      </xdr:nvPicPr>
      <xdr:blipFill>
        <a:blip xmlns:r="http://schemas.openxmlformats.org/officeDocument/2006/relationships" r:embed="rId1"/>
        <a:stretch>
          <a:fillRect/>
        </a:stretch>
      </xdr:blipFill>
      <xdr:spPr>
        <a:xfrm>
          <a:off x="26293107" y="19480530"/>
          <a:ext cx="3965911" cy="2396012"/>
        </a:xfrm>
        <a:prstGeom prst="rect">
          <a:avLst/>
        </a:prstGeom>
      </xdr:spPr>
    </xdr:pic>
    <xdr:clientData/>
  </xdr:twoCellAnchor>
  <xdr:twoCellAnchor>
    <xdr:from>
      <xdr:col>5</xdr:col>
      <xdr:colOff>3231777</xdr:colOff>
      <xdr:row>128</xdr:row>
      <xdr:rowOff>98613</xdr:rowOff>
    </xdr:from>
    <xdr:to>
      <xdr:col>7</xdr:col>
      <xdr:colOff>2075330</xdr:colOff>
      <xdr:row>143</xdr:row>
      <xdr:rowOff>152401</xdr:rowOff>
    </xdr:to>
    <xdr:graphicFrame macro="">
      <xdr:nvGraphicFramePr>
        <xdr:cNvPr id="3" name="Graphique 2">
          <a:extLst>
            <a:ext uri="{FF2B5EF4-FFF2-40B4-BE49-F238E27FC236}">
              <a16:creationId xmlns:a16="http://schemas.microsoft.com/office/drawing/2014/main" id="{6CCF86DE-5C02-4B0B-92E5-CA880EF51E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304800</xdr:colOff>
      <xdr:row>1</xdr:row>
      <xdr:rowOff>177800</xdr:rowOff>
    </xdr:from>
    <xdr:to>
      <xdr:col>28</xdr:col>
      <xdr:colOff>609600</xdr:colOff>
      <xdr:row>15</xdr:row>
      <xdr:rowOff>177800</xdr:rowOff>
    </xdr:to>
    <xdr:graphicFrame macro="">
      <xdr:nvGraphicFramePr>
        <xdr:cNvPr id="8" name="Graphique 7">
          <a:extLst>
            <a:ext uri="{FF2B5EF4-FFF2-40B4-BE49-F238E27FC236}">
              <a16:creationId xmlns:a16="http://schemas.microsoft.com/office/drawing/2014/main" id="{B870FA91-C1CC-393E-EAFA-A76F14F4A8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521970</xdr:colOff>
      <xdr:row>5</xdr:row>
      <xdr:rowOff>140970</xdr:rowOff>
    </xdr:from>
    <xdr:to>
      <xdr:col>10</xdr:col>
      <xdr:colOff>826770</xdr:colOff>
      <xdr:row>19</xdr:row>
      <xdr:rowOff>110490</xdr:rowOff>
    </xdr:to>
    <xdr:graphicFrame macro="">
      <xdr:nvGraphicFramePr>
        <xdr:cNvPr id="2" name="Graphique 1">
          <a:extLst>
            <a:ext uri="{FF2B5EF4-FFF2-40B4-BE49-F238E27FC236}">
              <a16:creationId xmlns:a16="http://schemas.microsoft.com/office/drawing/2014/main" id="{D56AB30F-35F6-570C-5B41-74816BE052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simey hin" id="{136E3B56-0E1C-4ACC-9B3E-8F4296D864D7}" userId="7281e7c60810f880"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3" dT="2024-12-23T12:44:30.94" personId="{136E3B56-0E1C-4ACC-9B3E-8F4296D864D7}" id="{A5F7ED28-66C1-4441-B76D-9A5B05156516}">
    <text xml:space="preserve">Market Cap (23/12/2024, 13:44 yahoo finance)
</text>
  </threadedComment>
  <threadedComment ref="C7" dT="2024-12-23T12:18:33.26" personId="{136E3B56-0E1C-4ACC-9B3E-8F4296D864D7}" id="{ABB11591-E4F3-40AC-9CD6-651C6BBEFCC0}">
    <text>France Corporate Tax rate
https://entreprendre.service-public.fr/vosdroits/F23575?lang=en</text>
    <extLst>
      <x:ext xmlns:xltc2="http://schemas.microsoft.com/office/spreadsheetml/2020/threadedcomments2" uri="{F7C98A9C-CBB3-438F-8F68-D28B6AF4A901}">
        <xltc2:checksum>1952398857</xltc2:checksum>
        <xltc2:hyperlink startIndex="26" length="63" url="https://entreprendre.service-public.fr/vosdroits/F23575?lang=en"/>
      </x:ext>
    </extLst>
  </threadedComment>
  <threadedComment ref="C11" dT="2024-12-23T12:31:02.37" personId="{136E3B56-0E1C-4ACC-9B3E-8F4296D864D7}" id="{D0276AF6-A4F6-41D8-B73E-9A7996FEE9F7}">
    <text xml:space="preserve">German 10 Y bond yield 12/23/2024 13:30
</text>
  </threadedComment>
  <threadedComment ref="C12" dT="2024-12-24T10:12:58.83" personId="{136E3B56-0E1C-4ACC-9B3E-8F4296D864D7}" id="{3C29BB83-4A34-4793-8E8F-E59A822C9746}">
    <text>Calculate by 3 year historical price from yahoo finance 1/1/2021-1/12/2023</text>
  </threadedComment>
  <threadedComment ref="C14" dT="2024-12-23T12:39:33.38" personId="{136E3B56-0E1C-4ACC-9B3E-8F4296D864D7}" id="{EA99CF79-0861-4C03-A7E4-5D370B30D3B3}">
    <text>Beta (5Y Monthly) Yahoo finance 23/12/2024 , 1:39 
https://finance.yahoo.com/quote/SAN.PA/key-statistics/</text>
    <extLst>
      <x:ext xmlns:xltc2="http://schemas.microsoft.com/office/spreadsheetml/2020/threadedcomments2" uri="{F7C98A9C-CBB3-438F-8F68-D28B6AF4A901}">
        <xltc2:checksum>529039885</xltc2:checksum>
        <xltc2:hyperlink startIndex="52" length="54" url="https://finance.yahoo.com/quote/SAN.PA/key-statistics/"/>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N22" dT="2024-12-23T12:18:33.26" personId="{136E3B56-0E1C-4ACC-9B3E-8F4296D864D7}" id="{6F77AC28-860D-40F2-903C-C6241B597208}">
    <text>France Corporate Tax rate
https://entreprendre.service-public.fr/vosdroits/F23575?lang=en</text>
    <extLst>
      <x:ext xmlns:xltc2="http://schemas.microsoft.com/office/spreadsheetml/2020/threadedcomments2" uri="{F7C98A9C-CBB3-438F-8F68-D28B6AF4A901}">
        <xltc2:checksum>1952398857</xltc2:checksum>
        <xltc2:hyperlink startIndex="26" length="63" url="https://entreprendre.service-public.fr/vosdroits/F23575?lang=en"/>
      </x:ext>
    </extLst>
  </threadedComment>
</ThreadedComment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5.xml"/><Relationship Id="rId4" Type="http://schemas.microsoft.com/office/2017/10/relationships/threadedComment" Target="../threadedComments/threadedComment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8DFD3-770E-8B49-9C5E-2A641AD0559D}">
  <sheetPr codeName="Sheet1"/>
  <dimension ref="A1:I27"/>
  <sheetViews>
    <sheetView zoomScale="80" zoomScaleNormal="80" workbookViewId="0">
      <selection activeCell="A18" sqref="A18"/>
    </sheetView>
  </sheetViews>
  <sheetFormatPr baseColWidth="10" defaultColWidth="10.59765625" defaultRowHeight="15.6" x14ac:dyDescent="0.3"/>
  <cols>
    <col min="1" max="1" width="37.09765625" customWidth="1"/>
  </cols>
  <sheetData>
    <row r="1" spans="1:9" x14ac:dyDescent="0.3">
      <c r="A1" t="s">
        <v>0</v>
      </c>
      <c r="B1" s="1">
        <v>2021</v>
      </c>
      <c r="C1" s="1">
        <v>2022</v>
      </c>
      <c r="D1" s="1">
        <v>2023</v>
      </c>
    </row>
    <row r="2" spans="1:9" x14ac:dyDescent="0.3">
      <c r="A2" s="3" t="s">
        <v>1</v>
      </c>
      <c r="B2">
        <v>37761</v>
      </c>
      <c r="C2">
        <v>42997</v>
      </c>
      <c r="D2">
        <v>43070</v>
      </c>
    </row>
    <row r="3" spans="1:9" x14ac:dyDescent="0.3">
      <c r="A3" t="s">
        <v>2</v>
      </c>
      <c r="B3">
        <v>1414</v>
      </c>
      <c r="C3">
        <v>2392</v>
      </c>
      <c r="D3">
        <v>3374</v>
      </c>
    </row>
    <row r="4" spans="1:9" x14ac:dyDescent="0.3">
      <c r="A4" t="s">
        <v>3</v>
      </c>
      <c r="B4">
        <v>-12255</v>
      </c>
      <c r="C4">
        <v>-13695</v>
      </c>
      <c r="D4">
        <v>-14236</v>
      </c>
    </row>
    <row r="5" spans="1:9" x14ac:dyDescent="0.3">
      <c r="A5" s="3" t="s">
        <v>4</v>
      </c>
      <c r="B5">
        <v>26920</v>
      </c>
      <c r="C5">
        <v>31694</v>
      </c>
      <c r="D5">
        <v>32208</v>
      </c>
    </row>
    <row r="6" spans="1:9" x14ac:dyDescent="0.3">
      <c r="A6" t="s">
        <v>5</v>
      </c>
      <c r="B6">
        <v>-5692</v>
      </c>
      <c r="C6">
        <v>-6706</v>
      </c>
      <c r="D6">
        <v>-6728</v>
      </c>
    </row>
    <row r="7" spans="1:9" x14ac:dyDescent="0.3">
      <c r="A7" t="s">
        <v>6</v>
      </c>
      <c r="B7">
        <v>-9555</v>
      </c>
      <c r="C7">
        <v>-10492</v>
      </c>
      <c r="D7">
        <v>-10692</v>
      </c>
      <c r="F7" s="1" t="s">
        <v>7</v>
      </c>
      <c r="G7" s="1">
        <v>2021</v>
      </c>
      <c r="H7" s="1">
        <v>2022</v>
      </c>
      <c r="I7" s="1">
        <v>2023</v>
      </c>
    </row>
    <row r="8" spans="1:9" x14ac:dyDescent="0.3">
      <c r="A8" t="s">
        <v>8</v>
      </c>
      <c r="B8">
        <v>859</v>
      </c>
      <c r="C8">
        <v>1969</v>
      </c>
      <c r="D8">
        <v>1292</v>
      </c>
      <c r="F8" s="2"/>
      <c r="G8" s="2">
        <f>SUM(B5:B9)</f>
        <v>10727</v>
      </c>
      <c r="H8" s="2">
        <f t="shared" ref="H8" si="0">SUM(C5:C9)</f>
        <v>13934</v>
      </c>
      <c r="I8" s="2">
        <f>SUM(D5:D9)</f>
        <v>12564</v>
      </c>
    </row>
    <row r="9" spans="1:9" x14ac:dyDescent="0.3">
      <c r="A9" t="s">
        <v>9</v>
      </c>
      <c r="B9">
        <v>-1805</v>
      </c>
      <c r="C9">
        <v>-2531</v>
      </c>
      <c r="D9">
        <v>-3516</v>
      </c>
    </row>
    <row r="10" spans="1:9" x14ac:dyDescent="0.3">
      <c r="A10" t="s">
        <v>10</v>
      </c>
      <c r="B10">
        <v>-1580</v>
      </c>
      <c r="C10">
        <v>-2053</v>
      </c>
      <c r="D10">
        <v>-2172</v>
      </c>
    </row>
    <row r="11" spans="1:9" x14ac:dyDescent="0.3">
      <c r="A11" t="s">
        <v>11</v>
      </c>
      <c r="B11">
        <v>-192</v>
      </c>
      <c r="C11">
        <v>454</v>
      </c>
      <c r="D11">
        <v>-896</v>
      </c>
    </row>
    <row r="12" spans="1:9" x14ac:dyDescent="0.3">
      <c r="A12" t="s">
        <v>12</v>
      </c>
      <c r="B12">
        <v>-4</v>
      </c>
      <c r="C12">
        <v>27</v>
      </c>
      <c r="D12">
        <v>-93</v>
      </c>
    </row>
    <row r="13" spans="1:9" x14ac:dyDescent="0.3">
      <c r="A13" t="s">
        <v>13</v>
      </c>
      <c r="B13">
        <v>-820</v>
      </c>
      <c r="C13">
        <v>-1336</v>
      </c>
      <c r="D13">
        <v>-1.49</v>
      </c>
    </row>
    <row r="14" spans="1:9" x14ac:dyDescent="0.3">
      <c r="A14" t="s">
        <v>14</v>
      </c>
      <c r="B14">
        <v>-5</v>
      </c>
      <c r="C14">
        <v>-370</v>
      </c>
      <c r="D14">
        <v>-38</v>
      </c>
    </row>
    <row r="15" spans="1:9" x14ac:dyDescent="0.3">
      <c r="A15" s="3" t="s">
        <v>15</v>
      </c>
      <c r="B15">
        <v>8126</v>
      </c>
      <c r="C15">
        <v>10656</v>
      </c>
      <c r="D15">
        <v>7875</v>
      </c>
    </row>
    <row r="16" spans="1:9" x14ac:dyDescent="0.3">
      <c r="A16" t="s">
        <v>16</v>
      </c>
      <c r="B16">
        <v>-368</v>
      </c>
      <c r="C16">
        <v>-440</v>
      </c>
      <c r="D16">
        <v>-1313</v>
      </c>
    </row>
    <row r="17" spans="1:4" x14ac:dyDescent="0.3">
      <c r="A17" t="s">
        <v>17</v>
      </c>
      <c r="B17">
        <v>40</v>
      </c>
      <c r="C17">
        <v>206</v>
      </c>
      <c r="D17">
        <v>591</v>
      </c>
    </row>
    <row r="18" spans="1:4" x14ac:dyDescent="0.3">
      <c r="A18" s="3" t="s">
        <v>18</v>
      </c>
      <c r="B18">
        <v>7798</v>
      </c>
      <c r="C18">
        <v>10422</v>
      </c>
      <c r="D18">
        <v>7153</v>
      </c>
    </row>
    <row r="19" spans="1:4" x14ac:dyDescent="0.3">
      <c r="A19" t="s">
        <v>19</v>
      </c>
      <c r="B19">
        <v>-1558</v>
      </c>
      <c r="C19">
        <v>-2006</v>
      </c>
      <c r="D19">
        <v>-1602</v>
      </c>
    </row>
    <row r="20" spans="1:4" x14ac:dyDescent="0.3">
      <c r="A20" t="s">
        <v>20</v>
      </c>
      <c r="B20">
        <v>39</v>
      </c>
      <c r="C20">
        <v>68</v>
      </c>
      <c r="D20">
        <v>-115</v>
      </c>
    </row>
    <row r="21" spans="1:4" x14ac:dyDescent="0.3">
      <c r="A21" s="3" t="s">
        <v>21</v>
      </c>
      <c r="B21">
        <v>6279</v>
      </c>
      <c r="C21">
        <v>8484</v>
      </c>
      <c r="D21">
        <v>5436</v>
      </c>
    </row>
    <row r="22" spans="1:4" x14ac:dyDescent="0.3">
      <c r="A22" t="s">
        <v>22</v>
      </c>
      <c r="B22">
        <v>56</v>
      </c>
      <c r="C22">
        <v>113</v>
      </c>
      <c r="D22">
        <v>36</v>
      </c>
    </row>
    <row r="23" spans="1:4" x14ac:dyDescent="0.3">
      <c r="A23" t="s">
        <v>23</v>
      </c>
      <c r="B23">
        <v>6223</v>
      </c>
      <c r="C23">
        <v>8371</v>
      </c>
      <c r="D23">
        <v>5400</v>
      </c>
    </row>
    <row r="24" spans="1:4" x14ac:dyDescent="0.3">
      <c r="A24" t="s">
        <v>24</v>
      </c>
      <c r="B24">
        <v>1252.5</v>
      </c>
      <c r="C24">
        <v>1251.9000000000001</v>
      </c>
      <c r="D24">
        <v>1251.7</v>
      </c>
    </row>
    <row r="25" spans="1:4" x14ac:dyDescent="0.3">
      <c r="A25" t="s">
        <v>25</v>
      </c>
      <c r="B25">
        <v>1257.9000000000001</v>
      </c>
      <c r="C25">
        <v>1256.9000000000001</v>
      </c>
      <c r="D25">
        <v>1256.4000000000001</v>
      </c>
    </row>
    <row r="26" spans="1:4" x14ac:dyDescent="0.3">
      <c r="A26" t="s">
        <v>26</v>
      </c>
      <c r="B26">
        <v>4.97</v>
      </c>
      <c r="C26">
        <v>6.69</v>
      </c>
      <c r="D26">
        <v>4.3099999999999996</v>
      </c>
    </row>
    <row r="27" spans="1:4" x14ac:dyDescent="0.3">
      <c r="A27" t="s">
        <v>27</v>
      </c>
      <c r="B27">
        <v>4.95</v>
      </c>
      <c r="C27">
        <v>6.66</v>
      </c>
      <c r="D27">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05D4D-9652-BC45-A1FC-DC025B1D70C6}">
  <sheetPr codeName="Sheet2"/>
  <dimension ref="A1:N39"/>
  <sheetViews>
    <sheetView zoomScale="80" zoomScaleNormal="80" workbookViewId="0">
      <selection activeCell="B3" sqref="B3"/>
    </sheetView>
  </sheetViews>
  <sheetFormatPr baseColWidth="10" defaultColWidth="10.59765625" defaultRowHeight="15.6" x14ac:dyDescent="0.3"/>
  <cols>
    <col min="1" max="1" width="60.5" customWidth="1"/>
    <col min="7" max="7" width="12.5" customWidth="1"/>
  </cols>
  <sheetData>
    <row r="1" spans="1:13" x14ac:dyDescent="0.3">
      <c r="A1" t="s">
        <v>28</v>
      </c>
      <c r="B1" s="1">
        <v>2021</v>
      </c>
      <c r="C1" s="1">
        <v>2022</v>
      </c>
      <c r="D1" s="1">
        <v>2023</v>
      </c>
      <c r="G1" s="1" t="s">
        <v>29</v>
      </c>
      <c r="H1" s="1">
        <v>2021</v>
      </c>
      <c r="I1" s="1">
        <v>2022</v>
      </c>
      <c r="J1" s="1">
        <v>2023</v>
      </c>
    </row>
    <row r="2" spans="1:13" x14ac:dyDescent="0.3">
      <c r="A2" s="5" t="s">
        <v>30</v>
      </c>
      <c r="G2" s="2"/>
      <c r="H2" s="2">
        <f>B23</f>
        <v>69031</v>
      </c>
      <c r="I2" s="2">
        <f>C23</f>
        <v>75152</v>
      </c>
      <c r="J2" s="2">
        <f>D23</f>
        <v>74353</v>
      </c>
    </row>
    <row r="3" spans="1:13" x14ac:dyDescent="0.3">
      <c r="A3" t="s">
        <v>31</v>
      </c>
      <c r="B3">
        <v>10028</v>
      </c>
      <c r="C3">
        <v>9869</v>
      </c>
      <c r="D3">
        <v>10160</v>
      </c>
    </row>
    <row r="4" spans="1:13" x14ac:dyDescent="0.3">
      <c r="A4" t="s">
        <v>32</v>
      </c>
      <c r="B4">
        <v>1948</v>
      </c>
      <c r="C4">
        <v>1815</v>
      </c>
      <c r="D4">
        <v>1654</v>
      </c>
    </row>
    <row r="5" spans="1:13" x14ac:dyDescent="0.3">
      <c r="A5" t="s">
        <v>33</v>
      </c>
      <c r="B5">
        <v>48056</v>
      </c>
      <c r="C5">
        <v>49892</v>
      </c>
      <c r="D5">
        <v>49404</v>
      </c>
    </row>
    <row r="6" spans="1:13" x14ac:dyDescent="0.3">
      <c r="A6" t="s">
        <v>34</v>
      </c>
      <c r="B6">
        <v>21407</v>
      </c>
      <c r="C6">
        <v>21640</v>
      </c>
      <c r="D6">
        <v>24319</v>
      </c>
    </row>
    <row r="7" spans="1:13" x14ac:dyDescent="0.3">
      <c r="A7" t="s">
        <v>35</v>
      </c>
      <c r="B7">
        <v>250</v>
      </c>
      <c r="C7">
        <v>677</v>
      </c>
      <c r="D7">
        <v>424</v>
      </c>
    </row>
    <row r="8" spans="1:13" x14ac:dyDescent="0.3">
      <c r="A8" t="s">
        <v>36</v>
      </c>
      <c r="B8">
        <v>3127</v>
      </c>
      <c r="C8">
        <v>3095</v>
      </c>
      <c r="D8">
        <v>3218</v>
      </c>
    </row>
    <row r="9" spans="1:13" x14ac:dyDescent="0.3">
      <c r="A9" t="s">
        <v>37</v>
      </c>
      <c r="B9">
        <v>175</v>
      </c>
      <c r="C9">
        <v>242</v>
      </c>
      <c r="D9">
        <v>188</v>
      </c>
      <c r="I9" s="56" t="s">
        <v>38</v>
      </c>
      <c r="J9" s="57"/>
      <c r="K9" s="56">
        <v>2021</v>
      </c>
      <c r="L9" s="56">
        <v>2022</v>
      </c>
      <c r="M9" s="56">
        <v>2023</v>
      </c>
    </row>
    <row r="10" spans="1:13" x14ac:dyDescent="0.3">
      <c r="A10" t="s">
        <v>39</v>
      </c>
      <c r="B10">
        <v>4598</v>
      </c>
      <c r="C10">
        <v>5381</v>
      </c>
      <c r="D10">
        <v>6427</v>
      </c>
      <c r="J10" s="60"/>
      <c r="K10" s="2">
        <f>B19-(B30+B37)</f>
        <v>69031</v>
      </c>
      <c r="L10" s="2">
        <f>C19-(C30+C37)</f>
        <v>75162</v>
      </c>
      <c r="M10" s="2">
        <f>D19-(D30+D37)</f>
        <v>74366</v>
      </c>
    </row>
    <row r="11" spans="1:13" x14ac:dyDescent="0.3">
      <c r="A11" s="6" t="s">
        <v>40</v>
      </c>
      <c r="B11">
        <v>89589</v>
      </c>
      <c r="C11">
        <v>92611</v>
      </c>
      <c r="D11">
        <v>95794</v>
      </c>
    </row>
    <row r="12" spans="1:13" x14ac:dyDescent="0.3">
      <c r="A12" t="s">
        <v>41</v>
      </c>
      <c r="B12">
        <v>8715</v>
      </c>
      <c r="C12">
        <v>8.9600000000000009</v>
      </c>
      <c r="D12">
        <v>9666</v>
      </c>
    </row>
    <row r="13" spans="1:13" x14ac:dyDescent="0.3">
      <c r="A13" t="s">
        <v>42</v>
      </c>
      <c r="B13">
        <v>7568</v>
      </c>
      <c r="C13">
        <v>8424</v>
      </c>
      <c r="D13">
        <v>8433</v>
      </c>
    </row>
    <row r="14" spans="1:13" x14ac:dyDescent="0.3">
      <c r="A14" t="s">
        <v>43</v>
      </c>
      <c r="B14">
        <v>3571</v>
      </c>
      <c r="C14">
        <v>3532</v>
      </c>
      <c r="D14">
        <v>3455</v>
      </c>
    </row>
    <row r="15" spans="1:13" x14ac:dyDescent="0.3">
      <c r="A15" t="s">
        <v>44</v>
      </c>
      <c r="B15">
        <v>612</v>
      </c>
      <c r="C15">
        <v>374</v>
      </c>
      <c r="D15">
        <v>391</v>
      </c>
    </row>
    <row r="16" spans="1:13" x14ac:dyDescent="0.3">
      <c r="A16" t="s">
        <v>45</v>
      </c>
      <c r="B16">
        <v>10098</v>
      </c>
      <c r="C16">
        <v>12376</v>
      </c>
      <c r="D16">
        <v>8710</v>
      </c>
    </row>
    <row r="17" spans="1:14" x14ac:dyDescent="0.3">
      <c r="A17" s="6" t="s">
        <v>46</v>
      </c>
      <c r="B17">
        <v>30564</v>
      </c>
      <c r="C17">
        <v>34026</v>
      </c>
      <c r="D17">
        <v>30655</v>
      </c>
    </row>
    <row r="18" spans="1:14" x14ac:dyDescent="0.3">
      <c r="A18" t="s">
        <v>47</v>
      </c>
      <c r="B18">
        <v>89</v>
      </c>
      <c r="C18">
        <v>85</v>
      </c>
      <c r="D18">
        <v>15</v>
      </c>
    </row>
    <row r="19" spans="1:14" x14ac:dyDescent="0.3">
      <c r="A19" s="7" t="s">
        <v>48</v>
      </c>
      <c r="B19">
        <v>120242</v>
      </c>
      <c r="C19">
        <v>126722</v>
      </c>
      <c r="D19">
        <v>126464</v>
      </c>
    </row>
    <row r="20" spans="1:14" x14ac:dyDescent="0.3">
      <c r="A20" s="5" t="s">
        <v>49</v>
      </c>
      <c r="J20" s="56" t="s">
        <v>50</v>
      </c>
      <c r="K20" s="57"/>
      <c r="L20" s="56">
        <v>2021</v>
      </c>
      <c r="M20" s="56">
        <v>2022</v>
      </c>
      <c r="N20" s="56">
        <v>2023</v>
      </c>
    </row>
    <row r="21" spans="1:14" x14ac:dyDescent="0.3">
      <c r="A21" t="s">
        <v>51</v>
      </c>
      <c r="B21">
        <v>68681</v>
      </c>
      <c r="C21">
        <v>74784</v>
      </c>
      <c r="D21">
        <v>74040</v>
      </c>
      <c r="K21" s="2"/>
      <c r="L21" s="2">
        <f>B24+B36-B16</f>
        <v>10208</v>
      </c>
      <c r="M21" s="2">
        <f>C24+C36-C16</f>
        <v>6655</v>
      </c>
      <c r="N21" s="2">
        <f>D24+D36-D16</f>
        <v>7682</v>
      </c>
    </row>
    <row r="22" spans="1:14" x14ac:dyDescent="0.3">
      <c r="A22" t="s">
        <v>52</v>
      </c>
      <c r="B22">
        <v>350</v>
      </c>
      <c r="C22">
        <v>368</v>
      </c>
      <c r="D22">
        <v>313</v>
      </c>
    </row>
    <row r="23" spans="1:14" x14ac:dyDescent="0.3">
      <c r="A23" s="6" t="s">
        <v>53</v>
      </c>
      <c r="B23">
        <v>69031</v>
      </c>
      <c r="C23">
        <v>75152</v>
      </c>
      <c r="D23">
        <v>74353</v>
      </c>
    </row>
    <row r="24" spans="1:14" x14ac:dyDescent="0.3">
      <c r="A24" t="s">
        <v>54</v>
      </c>
      <c r="B24">
        <v>17123</v>
      </c>
      <c r="C24">
        <v>14857</v>
      </c>
      <c r="D24">
        <v>14347</v>
      </c>
    </row>
    <row r="25" spans="1:14" x14ac:dyDescent="0.3">
      <c r="A25" t="s">
        <v>55</v>
      </c>
      <c r="B25">
        <v>1839</v>
      </c>
      <c r="C25">
        <v>1904</v>
      </c>
      <c r="D25">
        <v>1755</v>
      </c>
    </row>
    <row r="26" spans="1:14" x14ac:dyDescent="0.3">
      <c r="A26" t="s">
        <v>56</v>
      </c>
      <c r="B26">
        <v>577</v>
      </c>
      <c r="C26">
        <v>674</v>
      </c>
      <c r="D26">
        <v>501</v>
      </c>
    </row>
    <row r="27" spans="1:14" x14ac:dyDescent="0.3">
      <c r="A27" t="s">
        <v>57</v>
      </c>
      <c r="B27">
        <v>6721</v>
      </c>
      <c r="C27">
        <v>6341</v>
      </c>
      <c r="D27">
        <v>7602</v>
      </c>
    </row>
    <row r="28" spans="1:14" x14ac:dyDescent="0.3">
      <c r="A28" t="s">
        <v>58</v>
      </c>
      <c r="B28">
        <v>2039</v>
      </c>
      <c r="C28">
        <v>1979</v>
      </c>
      <c r="D28">
        <v>1842</v>
      </c>
    </row>
    <row r="29" spans="1:14" x14ac:dyDescent="0.3">
      <c r="A29" t="s">
        <v>59</v>
      </c>
      <c r="B29">
        <v>1617</v>
      </c>
      <c r="C29">
        <v>1841</v>
      </c>
      <c r="D29">
        <v>1857</v>
      </c>
    </row>
    <row r="30" spans="1:14" x14ac:dyDescent="0.3">
      <c r="A30" s="6" t="s">
        <v>60</v>
      </c>
      <c r="B30">
        <v>29916</v>
      </c>
      <c r="C30">
        <v>27596</v>
      </c>
      <c r="D30">
        <v>27904</v>
      </c>
    </row>
    <row r="31" spans="1:14" x14ac:dyDescent="0.3">
      <c r="A31" t="s">
        <v>61</v>
      </c>
      <c r="B31">
        <v>6180</v>
      </c>
      <c r="C31">
        <v>6813</v>
      </c>
      <c r="D31">
        <v>7328</v>
      </c>
    </row>
    <row r="32" spans="1:14" x14ac:dyDescent="0.3">
      <c r="A32" t="s">
        <v>62</v>
      </c>
      <c r="B32">
        <v>137</v>
      </c>
      <c r="C32">
        <v>105</v>
      </c>
      <c r="D32">
        <v>208</v>
      </c>
    </row>
    <row r="33" spans="1:4" x14ac:dyDescent="0.3">
      <c r="A33" t="s">
        <v>63</v>
      </c>
      <c r="B33">
        <v>11217</v>
      </c>
      <c r="C33">
        <v>12021</v>
      </c>
      <c r="D33">
        <v>13741</v>
      </c>
    </row>
    <row r="34" spans="1:4" x14ac:dyDescent="0.3">
      <c r="A34" t="s">
        <v>64</v>
      </c>
      <c r="B34">
        <v>309</v>
      </c>
      <c r="C34">
        <v>574</v>
      </c>
      <c r="D34">
        <v>597</v>
      </c>
    </row>
    <row r="35" spans="1:4" x14ac:dyDescent="0.3">
      <c r="A35" t="s">
        <v>65</v>
      </c>
      <c r="B35">
        <v>269</v>
      </c>
      <c r="C35">
        <v>277</v>
      </c>
      <c r="D35">
        <v>275</v>
      </c>
    </row>
    <row r="36" spans="1:4" x14ac:dyDescent="0.3">
      <c r="A36" t="s">
        <v>66</v>
      </c>
      <c r="B36">
        <v>3183</v>
      </c>
      <c r="C36">
        <v>4174</v>
      </c>
      <c r="D36">
        <v>2045</v>
      </c>
    </row>
    <row r="37" spans="1:4" x14ac:dyDescent="0.3">
      <c r="A37" s="6" t="s">
        <v>67</v>
      </c>
      <c r="B37">
        <v>21295</v>
      </c>
      <c r="C37">
        <v>23964</v>
      </c>
      <c r="D37">
        <v>24194</v>
      </c>
    </row>
    <row r="38" spans="1:4" x14ac:dyDescent="0.3">
      <c r="A38" t="s">
        <v>68</v>
      </c>
      <c r="B38">
        <v>0</v>
      </c>
      <c r="C38">
        <v>10</v>
      </c>
      <c r="D38">
        <v>13</v>
      </c>
    </row>
    <row r="39" spans="1:4" x14ac:dyDescent="0.3">
      <c r="A39" s="7" t="s">
        <v>69</v>
      </c>
      <c r="B39">
        <v>120242</v>
      </c>
      <c r="C39">
        <v>126722</v>
      </c>
      <c r="D39">
        <v>126464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8BFAB-6729-3A4D-97A2-1E83F2D94DC2}">
  <sheetPr codeName="Sheet3"/>
  <dimension ref="A1:J14"/>
  <sheetViews>
    <sheetView zoomScale="80" zoomScaleNormal="80" workbookViewId="0">
      <selection activeCell="H2" sqref="H2"/>
    </sheetView>
  </sheetViews>
  <sheetFormatPr baseColWidth="10" defaultColWidth="10.59765625" defaultRowHeight="15.6" x14ac:dyDescent="0.3"/>
  <cols>
    <col min="1" max="1" width="86.796875" customWidth="1"/>
    <col min="7" max="7" width="21.5" customWidth="1"/>
  </cols>
  <sheetData>
    <row r="1" spans="1:10" x14ac:dyDescent="0.3">
      <c r="A1" s="1" t="s">
        <v>70</v>
      </c>
      <c r="B1" s="1">
        <v>2021</v>
      </c>
      <c r="C1" s="1">
        <v>2022</v>
      </c>
      <c r="D1" s="1">
        <v>2023</v>
      </c>
      <c r="H1" s="1">
        <v>2021</v>
      </c>
      <c r="I1" s="1">
        <v>2022</v>
      </c>
      <c r="J1" s="1">
        <v>2023</v>
      </c>
    </row>
    <row r="2" spans="1:10" x14ac:dyDescent="0.3">
      <c r="A2" t="s">
        <v>71</v>
      </c>
      <c r="B2">
        <v>17123</v>
      </c>
      <c r="C2">
        <v>14857</v>
      </c>
      <c r="D2">
        <v>14347</v>
      </c>
      <c r="G2" s="3" t="s">
        <v>72</v>
      </c>
      <c r="H2" s="11">
        <f>(B5)/B14</f>
        <v>1.8877598583014823</v>
      </c>
      <c r="I2" s="11">
        <f t="shared" ref="I2:J2" si="0">(C5)/C14</f>
        <v>1.3792163054399311</v>
      </c>
      <c r="J2" s="11">
        <f t="shared" si="0"/>
        <v>1.3157433938236232</v>
      </c>
    </row>
    <row r="3" spans="1:10" x14ac:dyDescent="0.3">
      <c r="A3" t="s">
        <v>73</v>
      </c>
      <c r="B3">
        <v>3183</v>
      </c>
      <c r="C3">
        <v>4174</v>
      </c>
      <c r="D3">
        <v>2045</v>
      </c>
      <c r="G3" s="3" t="s">
        <v>74</v>
      </c>
      <c r="H3" s="12">
        <f>B5/B11</f>
        <v>0.29334646752908111</v>
      </c>
      <c r="I3" s="12">
        <f t="shared" ref="I3:J3" si="1">C5/C11</f>
        <v>0.25572173727911435</v>
      </c>
      <c r="J3" s="12">
        <f t="shared" si="1"/>
        <v>0.22233131144674728</v>
      </c>
    </row>
    <row r="4" spans="1:10" x14ac:dyDescent="0.3">
      <c r="A4" t="s">
        <v>75</v>
      </c>
      <c r="B4">
        <v>-56</v>
      </c>
      <c r="C4">
        <v>187</v>
      </c>
      <c r="D4">
        <v>139</v>
      </c>
    </row>
    <row r="5" spans="1:10" x14ac:dyDescent="0.3">
      <c r="A5" s="10" t="s">
        <v>76</v>
      </c>
      <c r="B5">
        <f>SUM(B2:B4)</f>
        <v>20250</v>
      </c>
      <c r="C5">
        <f>SUM(C2:C4)</f>
        <v>19218</v>
      </c>
      <c r="D5">
        <f>SUM(D2:D4)</f>
        <v>16531</v>
      </c>
    </row>
    <row r="6" spans="1:10" x14ac:dyDescent="0.3">
      <c r="A6" t="s">
        <v>77</v>
      </c>
      <c r="B6">
        <v>-10098</v>
      </c>
      <c r="C6">
        <v>-12736</v>
      </c>
      <c r="D6">
        <v>-8710</v>
      </c>
    </row>
    <row r="7" spans="1:10" ht="16.05" customHeight="1" x14ac:dyDescent="0.3">
      <c r="A7" s="9" t="s">
        <v>78</v>
      </c>
      <c r="B7">
        <v>-169</v>
      </c>
      <c r="C7">
        <v>-45</v>
      </c>
      <c r="D7">
        <v>-28</v>
      </c>
    </row>
    <row r="8" spans="1:10" x14ac:dyDescent="0.3">
      <c r="A8" s="10" t="s">
        <v>79</v>
      </c>
      <c r="B8">
        <f>SUM(B5:B7)</f>
        <v>9983</v>
      </c>
      <c r="C8">
        <f>SUM(C5:C7)</f>
        <v>6437</v>
      </c>
      <c r="D8">
        <f>SUM(D5:D7)</f>
        <v>7793</v>
      </c>
    </row>
    <row r="10" spans="1:10" x14ac:dyDescent="0.3">
      <c r="A10" s="1" t="s">
        <v>29</v>
      </c>
      <c r="B10" s="1">
        <v>2021</v>
      </c>
      <c r="C10" s="1">
        <v>2022</v>
      </c>
      <c r="D10" s="1">
        <v>2023</v>
      </c>
    </row>
    <row r="11" spans="1:10" x14ac:dyDescent="0.3">
      <c r="B11" s="2">
        <v>69031</v>
      </c>
      <c r="C11" s="2">
        <v>75152</v>
      </c>
      <c r="D11" s="2">
        <v>74353</v>
      </c>
    </row>
    <row r="13" spans="1:10" x14ac:dyDescent="0.3">
      <c r="A13" s="1" t="s">
        <v>7</v>
      </c>
      <c r="B13" s="1">
        <v>2021</v>
      </c>
      <c r="C13" s="1">
        <v>2022</v>
      </c>
      <c r="D13" s="1">
        <v>2023</v>
      </c>
    </row>
    <row r="14" spans="1:10" x14ac:dyDescent="0.3">
      <c r="B14" s="2">
        <v>10727</v>
      </c>
      <c r="C14" s="2">
        <v>13934</v>
      </c>
      <c r="D14" s="2">
        <v>12564</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4B614-F375-465C-8405-A3729157AF4A}">
  <sheetPr codeName="Sheet4"/>
  <dimension ref="A1:P26"/>
  <sheetViews>
    <sheetView zoomScale="62" workbookViewId="0">
      <selection activeCell="L2" sqref="L2:P26"/>
    </sheetView>
  </sheetViews>
  <sheetFormatPr baseColWidth="10" defaultColWidth="11" defaultRowHeight="15.6" x14ac:dyDescent="0.3"/>
  <sheetData>
    <row r="1" spans="1:16" x14ac:dyDescent="0.3">
      <c r="A1" s="140" t="s">
        <v>80</v>
      </c>
      <c r="B1" s="141" t="s">
        <v>81</v>
      </c>
      <c r="C1" s="142"/>
      <c r="D1" s="142"/>
    </row>
    <row r="2" spans="1:16" x14ac:dyDescent="0.3">
      <c r="A2" s="140"/>
      <c r="B2" s="92">
        <v>2021</v>
      </c>
      <c r="C2" s="92">
        <v>2022</v>
      </c>
      <c r="D2" s="92">
        <v>2023</v>
      </c>
      <c r="L2" s="143" t="s">
        <v>82</v>
      </c>
      <c r="M2" s="144"/>
      <c r="N2" s="144"/>
      <c r="O2" s="144"/>
      <c r="P2" s="144"/>
    </row>
    <row r="3" spans="1:16" x14ac:dyDescent="0.3">
      <c r="A3" s="93" t="s">
        <v>83</v>
      </c>
      <c r="B3" s="94">
        <f>Bilan!B17/Bilan!B37</f>
        <v>1.4352664944822728</v>
      </c>
      <c r="C3" s="94">
        <f>Bilan!C17/Bilan!C37</f>
        <v>1.4198798197295943</v>
      </c>
      <c r="D3" s="94">
        <f>Bilan!D17/Bilan!D37</f>
        <v>1.2670496817392742</v>
      </c>
      <c r="L3" s="144"/>
      <c r="M3" s="144"/>
      <c r="N3" s="144"/>
      <c r="O3" s="144"/>
      <c r="P3" s="144"/>
    </row>
    <row r="4" spans="1:16" x14ac:dyDescent="0.3">
      <c r="A4" s="93" t="s">
        <v>84</v>
      </c>
      <c r="B4" s="94">
        <f>(Bilan!B16+Bilan!B13)/Bilan!B37</f>
        <v>0.82958440948579482</v>
      </c>
      <c r="C4" s="94">
        <f>(Bilan!C16+Bilan!C13)/Bilan!C37</f>
        <v>0.86796861959606075</v>
      </c>
      <c r="D4" s="94">
        <f>(Bilan!D16+Bilan!D13)/Bilan!D37</f>
        <v>0.7085641068033397</v>
      </c>
      <c r="L4" s="144"/>
      <c r="M4" s="144"/>
      <c r="N4" s="144"/>
      <c r="O4" s="144"/>
      <c r="P4" s="144"/>
    </row>
    <row r="5" spans="1:16" x14ac:dyDescent="0.3">
      <c r="A5" s="93" t="s">
        <v>85</v>
      </c>
      <c r="B5" s="94">
        <f>Bilan!B16/Bilan!B37</f>
        <v>0.47419582061516791</v>
      </c>
      <c r="C5" s="94">
        <f>Bilan!C16/Bilan!C37</f>
        <v>0.5164413286596562</v>
      </c>
      <c r="D5" s="94">
        <f>Bilan!D16/Bilan!D37</f>
        <v>0.36000661320988675</v>
      </c>
      <c r="L5" s="144"/>
      <c r="M5" s="144"/>
      <c r="N5" s="144"/>
      <c r="O5" s="144"/>
      <c r="P5" s="144"/>
    </row>
    <row r="6" spans="1:16" x14ac:dyDescent="0.3">
      <c r="L6" s="144"/>
      <c r="M6" s="144"/>
      <c r="N6" s="144"/>
      <c r="O6" s="144"/>
      <c r="P6" s="144"/>
    </row>
    <row r="7" spans="1:16" x14ac:dyDescent="0.3">
      <c r="L7" s="144"/>
      <c r="M7" s="144"/>
      <c r="N7" s="144"/>
      <c r="O7" s="144"/>
      <c r="P7" s="144"/>
    </row>
    <row r="8" spans="1:16" x14ac:dyDescent="0.3">
      <c r="L8" s="144"/>
      <c r="M8" s="144"/>
      <c r="N8" s="144"/>
      <c r="O8" s="144"/>
      <c r="P8" s="144"/>
    </row>
    <row r="9" spans="1:16" x14ac:dyDescent="0.3">
      <c r="L9" s="144"/>
      <c r="M9" s="144"/>
      <c r="N9" s="144"/>
      <c r="O9" s="144"/>
      <c r="P9" s="144"/>
    </row>
    <row r="10" spans="1:16" x14ac:dyDescent="0.3">
      <c r="L10" s="144"/>
      <c r="M10" s="144"/>
      <c r="N10" s="144"/>
      <c r="O10" s="144"/>
      <c r="P10" s="144"/>
    </row>
    <row r="11" spans="1:16" x14ac:dyDescent="0.3">
      <c r="L11" s="144"/>
      <c r="M11" s="144"/>
      <c r="N11" s="144"/>
      <c r="O11" s="144"/>
      <c r="P11" s="144"/>
    </row>
    <row r="12" spans="1:16" x14ac:dyDescent="0.3">
      <c r="L12" s="144"/>
      <c r="M12" s="144"/>
      <c r="N12" s="144"/>
      <c r="O12" s="144"/>
      <c r="P12" s="144"/>
    </row>
    <row r="13" spans="1:16" x14ac:dyDescent="0.3">
      <c r="L13" s="144"/>
      <c r="M13" s="144"/>
      <c r="N13" s="144"/>
      <c r="O13" s="144"/>
      <c r="P13" s="144"/>
    </row>
    <row r="14" spans="1:16" x14ac:dyDescent="0.3">
      <c r="L14" s="144"/>
      <c r="M14" s="144"/>
      <c r="N14" s="144"/>
      <c r="O14" s="144"/>
      <c r="P14" s="144"/>
    </row>
    <row r="15" spans="1:16" x14ac:dyDescent="0.3">
      <c r="L15" s="144"/>
      <c r="M15" s="144"/>
      <c r="N15" s="144"/>
      <c r="O15" s="144"/>
      <c r="P15" s="144"/>
    </row>
    <row r="16" spans="1:16" x14ac:dyDescent="0.3">
      <c r="L16" s="144"/>
      <c r="M16" s="144"/>
      <c r="N16" s="144"/>
      <c r="O16" s="144"/>
      <c r="P16" s="144"/>
    </row>
    <row r="17" spans="12:16" x14ac:dyDescent="0.3">
      <c r="L17" s="144"/>
      <c r="M17" s="144"/>
      <c r="N17" s="144"/>
      <c r="O17" s="144"/>
      <c r="P17" s="144"/>
    </row>
    <row r="18" spans="12:16" x14ac:dyDescent="0.3">
      <c r="L18" s="144"/>
      <c r="M18" s="144"/>
      <c r="N18" s="144"/>
      <c r="O18" s="144"/>
      <c r="P18" s="144"/>
    </row>
    <row r="19" spans="12:16" x14ac:dyDescent="0.3">
      <c r="L19" s="144"/>
      <c r="M19" s="144"/>
      <c r="N19" s="144"/>
      <c r="O19" s="144"/>
      <c r="P19" s="144"/>
    </row>
    <row r="20" spans="12:16" x14ac:dyDescent="0.3">
      <c r="L20" s="144"/>
      <c r="M20" s="144"/>
      <c r="N20" s="144"/>
      <c r="O20" s="144"/>
      <c r="P20" s="144"/>
    </row>
    <row r="21" spans="12:16" x14ac:dyDescent="0.3">
      <c r="L21" s="144"/>
      <c r="M21" s="144"/>
      <c r="N21" s="144"/>
      <c r="O21" s="144"/>
      <c r="P21" s="144"/>
    </row>
    <row r="22" spans="12:16" x14ac:dyDescent="0.3">
      <c r="L22" s="144"/>
      <c r="M22" s="144"/>
      <c r="N22" s="144"/>
      <c r="O22" s="144"/>
      <c r="P22" s="144"/>
    </row>
    <row r="23" spans="12:16" x14ac:dyDescent="0.3">
      <c r="L23" s="144"/>
      <c r="M23" s="144"/>
      <c r="N23" s="144"/>
      <c r="O23" s="144"/>
      <c r="P23" s="144"/>
    </row>
    <row r="24" spans="12:16" x14ac:dyDescent="0.3">
      <c r="L24" s="144"/>
      <c r="M24" s="144"/>
      <c r="N24" s="144"/>
      <c r="O24" s="144"/>
      <c r="P24" s="144"/>
    </row>
    <row r="25" spans="12:16" x14ac:dyDescent="0.3">
      <c r="L25" s="144"/>
      <c r="M25" s="144"/>
      <c r="N25" s="144"/>
      <c r="O25" s="144"/>
      <c r="P25" s="144"/>
    </row>
    <row r="26" spans="12:16" x14ac:dyDescent="0.3">
      <c r="L26" s="144"/>
      <c r="M26" s="144"/>
      <c r="N26" s="144"/>
      <c r="O26" s="144"/>
      <c r="P26" s="144"/>
    </row>
  </sheetData>
  <mergeCells count="3">
    <mergeCell ref="A1:A2"/>
    <mergeCell ref="B1:D1"/>
    <mergeCell ref="L2:P2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D2578-0205-3348-A26A-9B9A479175D0}">
  <sheetPr codeName="Sheet5"/>
  <dimension ref="A1:F10"/>
  <sheetViews>
    <sheetView zoomScale="80" workbookViewId="0">
      <selection activeCell="F10" sqref="F10"/>
    </sheetView>
  </sheetViews>
  <sheetFormatPr baseColWidth="10" defaultColWidth="10.59765625" defaultRowHeight="15.6" x14ac:dyDescent="0.3"/>
  <cols>
    <col min="1" max="1" width="33" customWidth="1"/>
    <col min="2" max="2" width="23.09765625" customWidth="1"/>
    <col min="6" max="6" width="19" customWidth="1"/>
  </cols>
  <sheetData>
    <row r="1" spans="1:6" x14ac:dyDescent="0.3">
      <c r="A1" s="1" t="s">
        <v>86</v>
      </c>
      <c r="B1" s="1">
        <v>2021</v>
      </c>
      <c r="C1" s="1">
        <v>2022</v>
      </c>
      <c r="D1" s="1">
        <v>2023</v>
      </c>
    </row>
    <row r="2" spans="1:6" x14ac:dyDescent="0.3">
      <c r="A2" t="s">
        <v>87</v>
      </c>
      <c r="B2">
        <v>299</v>
      </c>
      <c r="C2">
        <v>376</v>
      </c>
      <c r="D2">
        <v>622</v>
      </c>
    </row>
    <row r="3" spans="1:6" x14ac:dyDescent="0.3">
      <c r="A3" t="s">
        <v>88</v>
      </c>
      <c r="B3">
        <v>20250</v>
      </c>
      <c r="C3">
        <v>19218</v>
      </c>
      <c r="D3">
        <v>16531</v>
      </c>
      <c r="F3" s="13" t="s">
        <v>89</v>
      </c>
    </row>
    <row r="4" spans="1:6" x14ac:dyDescent="0.3">
      <c r="A4" s="15" t="s">
        <v>90</v>
      </c>
      <c r="B4" s="12">
        <f>B2/B3</f>
        <v>1.4765432098765432E-2</v>
      </c>
      <c r="C4" s="12">
        <f>C2/C3</f>
        <v>1.956499115412634E-2</v>
      </c>
      <c r="D4" s="12">
        <f>D2/D3</f>
        <v>3.7626277902123285E-2</v>
      </c>
      <c r="E4" s="12"/>
      <c r="F4" s="12">
        <f>AVERAGE(B4:D5)</f>
        <v>2.3985567051671691E-2</v>
      </c>
    </row>
    <row r="6" spans="1:6" x14ac:dyDescent="0.3">
      <c r="A6" s="15" t="s">
        <v>91</v>
      </c>
      <c r="B6" s="14">
        <v>0.2</v>
      </c>
      <c r="C6" s="12">
        <v>0.192</v>
      </c>
      <c r="D6" s="12">
        <v>0.224</v>
      </c>
      <c r="F6" s="13" t="s">
        <v>92</v>
      </c>
    </row>
    <row r="7" spans="1:6" x14ac:dyDescent="0.3">
      <c r="F7" s="12">
        <f>AVERAGE(B6:D6)</f>
        <v>0.20533333333333334</v>
      </c>
    </row>
    <row r="10" spans="1:6" x14ac:dyDescent="0.3">
      <c r="B10" s="4" t="s">
        <v>93</v>
      </c>
      <c r="C10" s="12">
        <f>F4*(1-F7)</f>
        <v>1.9060530617061769E-2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CC9C3-C1DE-6C43-AECC-E9861B33EFF6}">
  <sheetPr codeName="Sheet6"/>
  <dimension ref="A1:J32"/>
  <sheetViews>
    <sheetView zoomScale="80" zoomScaleNormal="80" workbookViewId="0">
      <selection activeCell="A17" sqref="A17"/>
    </sheetView>
  </sheetViews>
  <sheetFormatPr baseColWidth="10" defaultColWidth="10.59765625" defaultRowHeight="15.6" x14ac:dyDescent="0.3"/>
  <cols>
    <col min="1" max="1" width="66.5" customWidth="1"/>
    <col min="2" max="2" width="11.09765625" customWidth="1"/>
    <col min="5" max="5" width="11" customWidth="1"/>
    <col min="8" max="8" width="11.796875" customWidth="1"/>
  </cols>
  <sheetData>
    <row r="1" spans="1:10" x14ac:dyDescent="0.3">
      <c r="B1" s="15"/>
      <c r="C1" s="21" t="s">
        <v>94</v>
      </c>
      <c r="D1" s="21"/>
      <c r="E1" s="8"/>
      <c r="F1" s="20" t="s">
        <v>95</v>
      </c>
      <c r="G1" s="20"/>
      <c r="H1" s="18"/>
      <c r="I1" s="19" t="s">
        <v>96</v>
      </c>
      <c r="J1" s="19"/>
    </row>
    <row r="2" spans="1:10" x14ac:dyDescent="0.3">
      <c r="A2" s="1" t="s">
        <v>97</v>
      </c>
      <c r="B2" s="17" t="s">
        <v>98</v>
      </c>
      <c r="C2" s="17" t="s">
        <v>99</v>
      </c>
      <c r="D2" s="17" t="s">
        <v>100</v>
      </c>
      <c r="E2" s="17" t="s">
        <v>98</v>
      </c>
      <c r="F2" s="17" t="s">
        <v>99</v>
      </c>
      <c r="G2" s="17" t="s">
        <v>100</v>
      </c>
      <c r="H2" s="17" t="s">
        <v>98</v>
      </c>
      <c r="I2" s="17" t="s">
        <v>99</v>
      </c>
      <c r="J2" s="17" t="s">
        <v>100</v>
      </c>
    </row>
    <row r="3" spans="1:10" x14ac:dyDescent="0.3">
      <c r="A3" t="s">
        <v>101</v>
      </c>
      <c r="B3" s="16">
        <v>17118</v>
      </c>
      <c r="C3" s="16">
        <v>2828</v>
      </c>
      <c r="D3" s="16">
        <v>19946</v>
      </c>
      <c r="E3" s="16">
        <v>15044</v>
      </c>
      <c r="F3" s="16">
        <v>3817</v>
      </c>
      <c r="G3" s="16">
        <v>18861</v>
      </c>
      <c r="H3" s="16">
        <v>14416</v>
      </c>
      <c r="I3" s="16">
        <v>718</v>
      </c>
      <c r="J3" s="16">
        <v>15134</v>
      </c>
    </row>
    <row r="4" spans="1:10" x14ac:dyDescent="0.3">
      <c r="A4" t="s">
        <v>102</v>
      </c>
      <c r="B4" s="16">
        <v>21</v>
      </c>
      <c r="C4" s="16">
        <v>163</v>
      </c>
      <c r="D4" s="16">
        <v>184</v>
      </c>
      <c r="E4" s="16">
        <v>99</v>
      </c>
      <c r="F4" s="16">
        <v>187</v>
      </c>
      <c r="G4" s="16">
        <v>286</v>
      </c>
      <c r="H4" s="16">
        <v>130</v>
      </c>
      <c r="I4" s="16">
        <v>1118</v>
      </c>
      <c r="J4" s="16">
        <v>1248</v>
      </c>
    </row>
    <row r="5" spans="1:10" x14ac:dyDescent="0.3">
      <c r="A5" t="s">
        <v>103</v>
      </c>
      <c r="B5" s="16">
        <v>37</v>
      </c>
      <c r="C5" s="16">
        <v>3</v>
      </c>
      <c r="D5" s="16">
        <v>40</v>
      </c>
      <c r="E5" s="16"/>
      <c r="F5" s="16">
        <v>6</v>
      </c>
      <c r="G5" s="16">
        <v>6</v>
      </c>
      <c r="H5" s="16"/>
      <c r="I5" s="16">
        <v>6</v>
      </c>
      <c r="J5" s="16">
        <v>6</v>
      </c>
    </row>
    <row r="6" spans="1:10" x14ac:dyDescent="0.3">
      <c r="A6" t="s">
        <v>104</v>
      </c>
      <c r="B6" s="16"/>
      <c r="C6" s="16">
        <v>189</v>
      </c>
      <c r="D6" s="16">
        <v>189</v>
      </c>
      <c r="E6" s="16"/>
      <c r="F6" s="16">
        <v>168</v>
      </c>
      <c r="G6" s="16">
        <v>168</v>
      </c>
      <c r="H6" s="16"/>
      <c r="I6" s="16">
        <v>203</v>
      </c>
      <c r="J6" s="16">
        <v>203</v>
      </c>
    </row>
    <row r="7" spans="1:10" x14ac:dyDescent="0.3">
      <c r="A7" t="s">
        <v>75</v>
      </c>
      <c r="B7" s="16"/>
      <c r="C7" s="16">
        <v>-45</v>
      </c>
      <c r="D7" s="16">
        <v>-45</v>
      </c>
      <c r="E7" s="16"/>
      <c r="F7" s="16">
        <v>-48</v>
      </c>
      <c r="G7" s="16">
        <v>-48</v>
      </c>
      <c r="H7" s="16"/>
      <c r="I7" s="16">
        <v>-18</v>
      </c>
      <c r="J7" s="16">
        <v>-18</v>
      </c>
    </row>
    <row r="8" spans="1:10" x14ac:dyDescent="0.3">
      <c r="A8" s="7" t="s">
        <v>105</v>
      </c>
      <c r="B8" s="16">
        <v>17176</v>
      </c>
      <c r="C8" s="16">
        <v>3138</v>
      </c>
      <c r="D8" s="16">
        <v>20314</v>
      </c>
      <c r="E8" s="16">
        <v>15143</v>
      </c>
      <c r="F8" s="16">
        <v>4130</v>
      </c>
      <c r="G8" s="16">
        <v>19273</v>
      </c>
      <c r="H8" s="16">
        <v>14546</v>
      </c>
      <c r="I8" s="16">
        <v>2027</v>
      </c>
      <c r="J8" s="16">
        <v>16573</v>
      </c>
    </row>
    <row r="9" spans="1:10" x14ac:dyDescent="0.3">
      <c r="A9" t="s">
        <v>106</v>
      </c>
      <c r="B9" s="16"/>
      <c r="C9" s="16"/>
      <c r="D9" s="16">
        <v>-64</v>
      </c>
      <c r="E9" s="16"/>
      <c r="F9" s="16"/>
      <c r="G9" s="16">
        <v>-55</v>
      </c>
      <c r="H9" s="16"/>
      <c r="I9" s="16"/>
      <c r="J9" s="16">
        <v>-42</v>
      </c>
    </row>
    <row r="10" spans="1:10" x14ac:dyDescent="0.3">
      <c r="A10" s="4" t="s">
        <v>107</v>
      </c>
      <c r="B10" s="16"/>
      <c r="C10" s="16"/>
      <c r="D10" s="22">
        <v>20250</v>
      </c>
      <c r="E10" s="16"/>
      <c r="F10" s="16"/>
      <c r="G10" s="22">
        <v>19218</v>
      </c>
      <c r="H10" s="16"/>
      <c r="I10" s="16"/>
      <c r="J10" s="22">
        <v>16531</v>
      </c>
    </row>
    <row r="13" spans="1:10" x14ac:dyDescent="0.3">
      <c r="A13" s="1" t="s">
        <v>108</v>
      </c>
      <c r="B13" s="1">
        <v>2021</v>
      </c>
      <c r="C13" s="1">
        <v>2022</v>
      </c>
      <c r="D13" s="1">
        <v>2023</v>
      </c>
    </row>
    <row r="14" spans="1:10" x14ac:dyDescent="0.3">
      <c r="A14" t="s">
        <v>101</v>
      </c>
      <c r="B14" s="12">
        <f>D3/$D$8</f>
        <v>0.98188441468937682</v>
      </c>
      <c r="C14" s="12">
        <f>G3/$G$8</f>
        <v>0.97862294401494321</v>
      </c>
      <c r="D14" s="12">
        <f>J3/$J$8</f>
        <v>0.91317202679056297</v>
      </c>
    </row>
    <row r="15" spans="1:10" x14ac:dyDescent="0.3">
      <c r="A15" t="s">
        <v>102</v>
      </c>
      <c r="B15" s="12">
        <f t="shared" ref="B15:B17" si="0">D4/$D$8</f>
        <v>9.0577926553116073E-3</v>
      </c>
      <c r="C15" s="12">
        <f t="shared" ref="C15:C17" si="1">G4/$G$8</f>
        <v>1.4839412649820994E-2</v>
      </c>
      <c r="D15" s="12">
        <f t="shared" ref="D15:D17" si="2">J4/$J$8</f>
        <v>7.5303204006516619E-2</v>
      </c>
    </row>
    <row r="16" spans="1:10" x14ac:dyDescent="0.3">
      <c r="A16" t="s">
        <v>103</v>
      </c>
      <c r="B16" s="12">
        <f t="shared" si="0"/>
        <v>1.9690853598503494E-3</v>
      </c>
      <c r="C16" s="12">
        <f t="shared" si="1"/>
        <v>3.1131634929694392E-4</v>
      </c>
      <c r="D16" s="12">
        <f t="shared" si="2"/>
        <v>3.6203463464671453E-4</v>
      </c>
    </row>
    <row r="17" spans="1:4" x14ac:dyDescent="0.3">
      <c r="A17" t="s">
        <v>109</v>
      </c>
      <c r="B17" s="12">
        <f t="shared" si="0"/>
        <v>9.3039283252929015E-3</v>
      </c>
      <c r="C17" s="12">
        <f t="shared" si="1"/>
        <v>8.7168577803144291E-3</v>
      </c>
      <c r="D17" s="12">
        <f t="shared" si="2"/>
        <v>1.2248838472213842E-2</v>
      </c>
    </row>
    <row r="30" spans="1:4" x14ac:dyDescent="0.3">
      <c r="A30" s="1" t="s">
        <v>110</v>
      </c>
      <c r="B30" s="1">
        <v>2021</v>
      </c>
      <c r="C30" s="1">
        <v>2022</v>
      </c>
      <c r="D30" s="1">
        <v>2023</v>
      </c>
    </row>
    <row r="31" spans="1:4" x14ac:dyDescent="0.3">
      <c r="A31" t="s">
        <v>111</v>
      </c>
      <c r="B31" s="12">
        <f>C8/D8</f>
        <v>0.15447474648025991</v>
      </c>
      <c r="C31" s="12">
        <f>F8/G8</f>
        <v>0.21428942043272972</v>
      </c>
      <c r="D31" s="12">
        <f>I8/J8</f>
        <v>0.12230736740481506</v>
      </c>
    </row>
    <row r="32" spans="1:4" x14ac:dyDescent="0.3">
      <c r="A32" t="s">
        <v>112</v>
      </c>
      <c r="B32" s="12">
        <f>1-B31</f>
        <v>0.84552525351974006</v>
      </c>
      <c r="C32" s="12">
        <f t="shared" ref="C32:D32" si="3">1-C31</f>
        <v>0.78571057956727031</v>
      </c>
      <c r="D32" s="12">
        <f t="shared" si="3"/>
        <v>0.87769263259518493</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A5616-195E-4AE9-9BCC-D1AD30C858FD}">
  <sheetPr codeName="Sheet7"/>
  <dimension ref="B2:E18"/>
  <sheetViews>
    <sheetView showGridLines="0" zoomScale="87" workbookViewId="0">
      <selection activeCell="C7" sqref="C7"/>
    </sheetView>
  </sheetViews>
  <sheetFormatPr baseColWidth="10" defaultColWidth="8.59765625" defaultRowHeight="14.4" x14ac:dyDescent="0.3"/>
  <cols>
    <col min="1" max="1" width="8.59765625" style="24"/>
    <col min="2" max="2" width="38.796875" style="24" customWidth="1"/>
    <col min="3" max="3" width="17.69921875" style="24" customWidth="1"/>
    <col min="4" max="4" width="10.09765625" style="24" bestFit="1" customWidth="1"/>
    <col min="5" max="16384" width="8.59765625" style="24"/>
  </cols>
  <sheetData>
    <row r="2" spans="2:5" ht="15.6" x14ac:dyDescent="0.3">
      <c r="B2" s="43" t="s">
        <v>113</v>
      </c>
      <c r="C2" s="23"/>
      <c r="E2" s="25"/>
    </row>
    <row r="3" spans="2:5" ht="15.6" x14ac:dyDescent="0.3">
      <c r="B3" s="32" t="s">
        <v>114</v>
      </c>
      <c r="C3" s="33">
        <f>112.55*1000</f>
        <v>112550</v>
      </c>
    </row>
    <row r="4" spans="2:5" ht="15.6" x14ac:dyDescent="0.3">
      <c r="B4" s="32" t="s">
        <v>115</v>
      </c>
      <c r="C4" s="33">
        <f>'Cout dette'!D3</f>
        <v>16531</v>
      </c>
    </row>
    <row r="5" spans="2:5" ht="15.6" x14ac:dyDescent="0.3">
      <c r="B5" s="32"/>
      <c r="C5" s="32"/>
    </row>
    <row r="6" spans="2:5" ht="15.6" x14ac:dyDescent="0.3">
      <c r="B6" s="32" t="s">
        <v>116</v>
      </c>
      <c r="C6" s="34">
        <f>'Cout dette'!D4</f>
        <v>3.7626277902123285E-2</v>
      </c>
    </row>
    <row r="7" spans="2:5" ht="15.6" x14ac:dyDescent="0.3">
      <c r="B7" s="32" t="s">
        <v>117</v>
      </c>
      <c r="C7" s="35">
        <v>0.25</v>
      </c>
    </row>
    <row r="8" spans="2:5" ht="15.6" x14ac:dyDescent="0.3">
      <c r="B8" s="32" t="s">
        <v>118</v>
      </c>
      <c r="C8" s="34">
        <f>C4/(C3+C4)</f>
        <v>0.12806687273882292</v>
      </c>
    </row>
    <row r="9" spans="2:5" ht="15.6" x14ac:dyDescent="0.3">
      <c r="B9" s="36" t="s">
        <v>119</v>
      </c>
      <c r="C9" s="37">
        <f>C6*(1-C7)</f>
        <v>2.8219708426592466E-2</v>
      </c>
    </row>
    <row r="10" spans="2:5" ht="15.6" x14ac:dyDescent="0.3">
      <c r="B10" s="32"/>
      <c r="C10" s="35"/>
    </row>
    <row r="11" spans="2:5" ht="15.6" x14ac:dyDescent="0.3">
      <c r="B11" s="32" t="s">
        <v>120</v>
      </c>
      <c r="C11" s="35">
        <v>2.3064999999999999E-2</v>
      </c>
      <c r="D11" s="27"/>
    </row>
    <row r="12" spans="2:5" ht="15.6" x14ac:dyDescent="0.3">
      <c r="B12" s="32" t="s">
        <v>121</v>
      </c>
      <c r="C12" s="35">
        <v>0.13104367206906486</v>
      </c>
    </row>
    <row r="13" spans="2:5" ht="15.6" x14ac:dyDescent="0.3">
      <c r="B13" s="32" t="s">
        <v>122</v>
      </c>
      <c r="C13" s="38">
        <f>C12-C11</f>
        <v>0.10797867206906486</v>
      </c>
    </row>
    <row r="14" spans="2:5" ht="15.6" x14ac:dyDescent="0.3">
      <c r="B14" s="32" t="s">
        <v>123</v>
      </c>
      <c r="C14" s="39">
        <v>0.44</v>
      </c>
    </row>
    <row r="15" spans="2:5" ht="15.6" x14ac:dyDescent="0.3">
      <c r="B15" s="32" t="s">
        <v>124</v>
      </c>
      <c r="C15" s="34">
        <f>C3/(C3+C4)</f>
        <v>0.87193312726117711</v>
      </c>
    </row>
    <row r="16" spans="2:5" ht="15.6" x14ac:dyDescent="0.3">
      <c r="B16" s="36" t="s">
        <v>125</v>
      </c>
      <c r="C16" s="40">
        <f>C11+C14*C13</f>
        <v>7.0575615710388534E-2</v>
      </c>
    </row>
    <row r="17" spans="2:3" ht="15.6" x14ac:dyDescent="0.3">
      <c r="B17" s="32"/>
      <c r="C17" s="32"/>
    </row>
    <row r="18" spans="2:3" ht="15.6" x14ac:dyDescent="0.3">
      <c r="B18" s="41" t="s">
        <v>126</v>
      </c>
      <c r="C18" s="42">
        <f>C16*C15+C9*C8</f>
        <v>6.5151227122537236E-2</v>
      </c>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97D1C-C4B3-49D7-946B-E22EB1F82459}">
  <sheetPr codeName="Sheet9"/>
  <dimension ref="A1:H39"/>
  <sheetViews>
    <sheetView workbookViewId="0">
      <selection activeCell="F4" sqref="F4"/>
    </sheetView>
  </sheetViews>
  <sheetFormatPr baseColWidth="10" defaultColWidth="8.59765625" defaultRowHeight="14.4" x14ac:dyDescent="0.3"/>
  <cols>
    <col min="1" max="1" width="8.796875" style="24" bestFit="1" customWidth="1"/>
    <col min="2" max="2" width="11.59765625" style="24" bestFit="1" customWidth="1"/>
    <col min="3" max="3" width="8.796875" style="24" bestFit="1" customWidth="1"/>
    <col min="4" max="4" width="11.296875" style="24" bestFit="1" customWidth="1"/>
    <col min="5" max="7" width="8.59765625" style="24"/>
    <col min="8" max="8" width="23.796875" style="24" bestFit="1" customWidth="1"/>
    <col min="9" max="16384" width="8.59765625" style="24"/>
  </cols>
  <sheetData>
    <row r="1" spans="1:8" x14ac:dyDescent="0.3">
      <c r="A1" s="44" t="s">
        <v>130</v>
      </c>
      <c r="B1" s="44" t="s">
        <v>131</v>
      </c>
      <c r="C1" s="44" t="s">
        <v>132</v>
      </c>
      <c r="D1" s="44" t="s">
        <v>133</v>
      </c>
      <c r="F1" s="24" t="s">
        <v>134</v>
      </c>
      <c r="G1" s="24" t="s">
        <v>135</v>
      </c>
      <c r="H1" s="24" t="s">
        <v>136</v>
      </c>
    </row>
    <row r="2" spans="1:8" ht="15.6" x14ac:dyDescent="0.3">
      <c r="A2" s="28">
        <v>44197</v>
      </c>
      <c r="B2" s="24">
        <v>66.099999999999994</v>
      </c>
      <c r="C2" s="29"/>
      <c r="F2" s="30">
        <f>AVERAGE(C3:C38)</f>
        <v>1.0314566328131504E-2</v>
      </c>
      <c r="G2" s="24">
        <f>_xlfn.STDEV.P(C3:C38)</f>
        <v>5.9620499213083225E-2</v>
      </c>
      <c r="H2" s="26">
        <f>((1+F2)^12-1)</f>
        <v>0.13104367206906486</v>
      </c>
    </row>
    <row r="3" spans="1:8" x14ac:dyDescent="0.3">
      <c r="A3" s="28">
        <v>44228</v>
      </c>
      <c r="B3" s="24">
        <v>64.94</v>
      </c>
      <c r="C3" s="24">
        <f t="shared" ref="C3:C37" si="0">B3/B2-1</f>
        <v>-1.7549167927382703E-2</v>
      </c>
      <c r="D3" s="46">
        <f>C3-$F$2</f>
        <v>-2.7863734255514208E-2</v>
      </c>
    </row>
    <row r="4" spans="1:8" x14ac:dyDescent="0.3">
      <c r="A4" s="28">
        <v>44256</v>
      </c>
      <c r="B4" s="24">
        <v>72.180000000000007</v>
      </c>
      <c r="C4" s="24">
        <f t="shared" si="0"/>
        <v>0.11148752694795205</v>
      </c>
      <c r="D4" s="46">
        <f t="shared" ref="D4:D38" si="1">C4-$F$2</f>
        <v>0.10117296061982055</v>
      </c>
      <c r="F4" s="45" t="s">
        <v>137</v>
      </c>
    </row>
    <row r="5" spans="1:8" x14ac:dyDescent="0.3">
      <c r="A5" s="28">
        <v>44287</v>
      </c>
      <c r="B5" s="24">
        <v>74.77</v>
      </c>
      <c r="C5" s="24">
        <f t="shared" si="0"/>
        <v>3.5882515932391001E-2</v>
      </c>
      <c r="D5" s="46">
        <f t="shared" si="1"/>
        <v>2.5567949604259496E-2</v>
      </c>
    </row>
    <row r="6" spans="1:8" x14ac:dyDescent="0.3">
      <c r="A6" s="28">
        <v>44317</v>
      </c>
      <c r="B6" s="24">
        <v>74.510000000000005</v>
      </c>
      <c r="C6" s="24">
        <f t="shared" si="0"/>
        <v>-3.4773304801389848E-3</v>
      </c>
      <c r="D6" s="46">
        <f t="shared" si="1"/>
        <v>-1.3791896808270488E-2</v>
      </c>
    </row>
    <row r="7" spans="1:8" x14ac:dyDescent="0.3">
      <c r="A7" s="28">
        <v>44348</v>
      </c>
      <c r="B7" s="24">
        <v>78.62</v>
      </c>
      <c r="C7" s="24">
        <f t="shared" si="0"/>
        <v>5.5160381156891702E-2</v>
      </c>
      <c r="D7" s="46">
        <f t="shared" si="1"/>
        <v>4.4845814828760197E-2</v>
      </c>
    </row>
    <row r="8" spans="1:8" x14ac:dyDescent="0.3">
      <c r="A8" s="28">
        <v>44378</v>
      </c>
      <c r="B8" s="24">
        <v>77.3</v>
      </c>
      <c r="C8" s="24">
        <f t="shared" si="0"/>
        <v>-1.6789620961587426E-2</v>
      </c>
      <c r="D8" s="46">
        <f t="shared" si="1"/>
        <v>-2.7104187289718931E-2</v>
      </c>
    </row>
    <row r="9" spans="1:8" x14ac:dyDescent="0.3">
      <c r="A9" s="28">
        <v>44409</v>
      </c>
      <c r="B9" s="24">
        <v>77.959999999999994</v>
      </c>
      <c r="C9" s="24">
        <f t="shared" si="0"/>
        <v>8.5381630012935084E-3</v>
      </c>
      <c r="D9" s="46">
        <f t="shared" si="1"/>
        <v>-1.7764033268379952E-3</v>
      </c>
    </row>
    <row r="10" spans="1:8" x14ac:dyDescent="0.3">
      <c r="A10" s="28">
        <v>44440</v>
      </c>
      <c r="B10" s="24">
        <v>73.92</v>
      </c>
      <c r="C10" s="24">
        <f t="shared" si="0"/>
        <v>-5.1821446895843892E-2</v>
      </c>
      <c r="D10" s="46">
        <f t="shared" si="1"/>
        <v>-6.2136013223975398E-2</v>
      </c>
    </row>
    <row r="11" spans="1:8" x14ac:dyDescent="0.3">
      <c r="A11" s="28">
        <v>44470</v>
      </c>
      <c r="B11" s="24">
        <v>76.900000000000006</v>
      </c>
      <c r="C11" s="24">
        <f t="shared" si="0"/>
        <v>4.0313852813852913E-2</v>
      </c>
      <c r="D11" s="46">
        <f t="shared" si="1"/>
        <v>2.9999286485721408E-2</v>
      </c>
    </row>
    <row r="12" spans="1:8" x14ac:dyDescent="0.3">
      <c r="A12" s="28">
        <v>44501</v>
      </c>
      <c r="B12" s="24">
        <v>74.61</v>
      </c>
      <c r="C12" s="24">
        <f t="shared" si="0"/>
        <v>-2.9778933680104092E-2</v>
      </c>
      <c r="D12" s="46">
        <f t="shared" si="1"/>
        <v>-4.0093500008235597E-2</v>
      </c>
    </row>
    <row r="13" spans="1:8" x14ac:dyDescent="0.3">
      <c r="A13" s="28">
        <v>44531</v>
      </c>
      <c r="B13" s="24">
        <v>78.81</v>
      </c>
      <c r="C13" s="24">
        <f t="shared" si="0"/>
        <v>5.6292722155207198E-2</v>
      </c>
      <c r="D13" s="46">
        <f t="shared" si="1"/>
        <v>4.5978155827075692E-2</v>
      </c>
    </row>
    <row r="14" spans="1:8" x14ac:dyDescent="0.3">
      <c r="A14" s="28">
        <v>44562</v>
      </c>
      <c r="B14" s="24">
        <v>82.52</v>
      </c>
      <c r="C14" s="24">
        <f t="shared" si="0"/>
        <v>4.7075244258342863E-2</v>
      </c>
      <c r="D14" s="46">
        <f t="shared" si="1"/>
        <v>3.6760677930211358E-2</v>
      </c>
    </row>
    <row r="15" spans="1:8" x14ac:dyDescent="0.3">
      <c r="A15" s="28">
        <v>44593</v>
      </c>
      <c r="B15" s="24">
        <v>83.17</v>
      </c>
      <c r="C15" s="24">
        <f t="shared" si="0"/>
        <v>7.8768783325255942E-3</v>
      </c>
      <c r="D15" s="46">
        <f t="shared" si="1"/>
        <v>-2.4376879956059094E-3</v>
      </c>
    </row>
    <row r="16" spans="1:8" x14ac:dyDescent="0.3">
      <c r="A16" s="28">
        <v>44621</v>
      </c>
      <c r="B16" s="24">
        <v>82.31</v>
      </c>
      <c r="C16" s="24">
        <f t="shared" si="0"/>
        <v>-1.0340266923169361E-2</v>
      </c>
      <c r="D16" s="46">
        <f t="shared" si="1"/>
        <v>-2.0654833251300866E-2</v>
      </c>
    </row>
    <row r="17" spans="1:4" x14ac:dyDescent="0.3">
      <c r="A17" s="28">
        <v>44652</v>
      </c>
      <c r="B17" s="24">
        <v>90.03</v>
      </c>
      <c r="C17" s="24">
        <f t="shared" si="0"/>
        <v>9.3791762847770688E-2</v>
      </c>
      <c r="D17" s="46">
        <f t="shared" si="1"/>
        <v>8.3477196519639182E-2</v>
      </c>
    </row>
    <row r="18" spans="1:4" x14ac:dyDescent="0.3">
      <c r="A18" s="28">
        <v>44682</v>
      </c>
      <c r="B18" s="24">
        <v>88.91</v>
      </c>
      <c r="C18" s="24">
        <f t="shared" si="0"/>
        <v>-1.2440297678551593E-2</v>
      </c>
      <c r="D18" s="46">
        <f t="shared" si="1"/>
        <v>-2.2754864006683098E-2</v>
      </c>
    </row>
    <row r="19" spans="1:4" x14ac:dyDescent="0.3">
      <c r="A19" s="28">
        <v>44713</v>
      </c>
      <c r="B19" s="24">
        <v>89.17</v>
      </c>
      <c r="C19" s="24">
        <f t="shared" si="0"/>
        <v>2.9243054774492627E-3</v>
      </c>
      <c r="D19" s="46">
        <f t="shared" si="1"/>
        <v>-7.3902608506822409E-3</v>
      </c>
    </row>
    <row r="20" spans="1:4" x14ac:dyDescent="0.3">
      <c r="A20" s="28">
        <v>44743</v>
      </c>
      <c r="B20" s="24">
        <v>89.98</v>
      </c>
      <c r="C20" s="24">
        <f t="shared" si="0"/>
        <v>9.0837725692498594E-3</v>
      </c>
      <c r="D20" s="46">
        <f t="shared" si="1"/>
        <v>-1.2307937588816441E-3</v>
      </c>
    </row>
    <row r="21" spans="1:4" x14ac:dyDescent="0.3">
      <c r="A21" s="28">
        <v>44774</v>
      </c>
      <c r="B21" s="24">
        <v>76.069999999999993</v>
      </c>
      <c r="C21" s="24">
        <f t="shared" si="0"/>
        <v>-0.15458990886863755</v>
      </c>
      <c r="D21" s="46">
        <f t="shared" si="1"/>
        <v>-0.16490447519676904</v>
      </c>
    </row>
    <row r="22" spans="1:4" x14ac:dyDescent="0.3">
      <c r="A22" s="28">
        <v>44805</v>
      </c>
      <c r="B22" s="24">
        <v>72.569999999999993</v>
      </c>
      <c r="C22" s="24">
        <f t="shared" si="0"/>
        <v>-4.6010253713684723E-2</v>
      </c>
      <c r="D22" s="46">
        <f t="shared" si="1"/>
        <v>-5.6324820041816229E-2</v>
      </c>
    </row>
    <row r="23" spans="1:4" x14ac:dyDescent="0.3">
      <c r="A23" s="28">
        <v>44835</v>
      </c>
      <c r="B23" s="24">
        <v>80.83</v>
      </c>
      <c r="C23" s="24">
        <f t="shared" si="0"/>
        <v>0.11382113821138229</v>
      </c>
      <c r="D23" s="46">
        <f t="shared" si="1"/>
        <v>0.10350657188325078</v>
      </c>
    </row>
    <row r="24" spans="1:4" x14ac:dyDescent="0.3">
      <c r="A24" s="28">
        <v>44866</v>
      </c>
      <c r="B24" s="24">
        <v>80.05</v>
      </c>
      <c r="C24" s="24">
        <f t="shared" si="0"/>
        <v>-9.6498824693801444E-3</v>
      </c>
      <c r="D24" s="46">
        <f t="shared" si="1"/>
        <v>-1.996444879751165E-2</v>
      </c>
    </row>
    <row r="25" spans="1:4" x14ac:dyDescent="0.3">
      <c r="A25" s="28">
        <v>44896</v>
      </c>
      <c r="B25" s="24">
        <v>83.16</v>
      </c>
      <c r="C25" s="24">
        <f t="shared" si="0"/>
        <v>3.8850718301061793E-2</v>
      </c>
      <c r="D25" s="46">
        <f t="shared" si="1"/>
        <v>2.8536151972930288E-2</v>
      </c>
    </row>
    <row r="26" spans="1:4" x14ac:dyDescent="0.3">
      <c r="A26" s="28">
        <v>44927</v>
      </c>
      <c r="B26" s="24">
        <v>83</v>
      </c>
      <c r="C26" s="24">
        <f t="shared" si="0"/>
        <v>-1.9240019240018835E-3</v>
      </c>
      <c r="D26" s="46">
        <f t="shared" si="1"/>
        <v>-1.2238568252133387E-2</v>
      </c>
    </row>
    <row r="27" spans="1:4" x14ac:dyDescent="0.3">
      <c r="A27" s="28">
        <v>44958</v>
      </c>
      <c r="B27" s="24">
        <v>82.28</v>
      </c>
      <c r="C27" s="24">
        <f t="shared" si="0"/>
        <v>-8.6746987951806798E-3</v>
      </c>
      <c r="D27" s="46">
        <f t="shared" si="1"/>
        <v>-1.8989265123312185E-2</v>
      </c>
    </row>
    <row r="28" spans="1:4" x14ac:dyDescent="0.3">
      <c r="A28" s="28">
        <v>44986</v>
      </c>
      <c r="B28" s="24">
        <v>92.78</v>
      </c>
      <c r="C28" s="24">
        <f t="shared" si="0"/>
        <v>0.12761302868254742</v>
      </c>
      <c r="D28" s="46">
        <f t="shared" si="1"/>
        <v>0.11729846235441592</v>
      </c>
    </row>
    <row r="29" spans="1:4" x14ac:dyDescent="0.3">
      <c r="A29" s="28">
        <v>45017</v>
      </c>
      <c r="B29" s="24">
        <v>92.56</v>
      </c>
      <c r="C29" s="24">
        <f t="shared" si="0"/>
        <v>-2.3712006898037874E-3</v>
      </c>
      <c r="D29" s="46">
        <f t="shared" si="1"/>
        <v>-1.2685767017935291E-2</v>
      </c>
    </row>
    <row r="30" spans="1:4" x14ac:dyDescent="0.3">
      <c r="A30" s="28">
        <v>45047</v>
      </c>
      <c r="B30" s="24">
        <v>87.82</v>
      </c>
      <c r="C30" s="24">
        <f t="shared" si="0"/>
        <v>-5.1210025929127156E-2</v>
      </c>
      <c r="D30" s="46">
        <f t="shared" si="1"/>
        <v>-6.1524592257258662E-2</v>
      </c>
    </row>
    <row r="31" spans="1:4" x14ac:dyDescent="0.3">
      <c r="A31" s="28">
        <v>45078</v>
      </c>
      <c r="B31" s="24">
        <v>94.29</v>
      </c>
      <c r="C31" s="24">
        <f t="shared" si="0"/>
        <v>7.3673422910498942E-2</v>
      </c>
      <c r="D31" s="46">
        <f t="shared" si="1"/>
        <v>6.3358856582367437E-2</v>
      </c>
    </row>
    <row r="32" spans="1:4" x14ac:dyDescent="0.3">
      <c r="A32" s="28">
        <v>45108</v>
      </c>
      <c r="B32" s="24">
        <v>93.22</v>
      </c>
      <c r="C32" s="24">
        <f t="shared" si="0"/>
        <v>-1.1347969031710758E-2</v>
      </c>
      <c r="D32" s="46">
        <f t="shared" si="1"/>
        <v>-2.1662535359842264E-2</v>
      </c>
    </row>
    <row r="33" spans="1:4" x14ac:dyDescent="0.3">
      <c r="A33" s="28">
        <v>45139</v>
      </c>
      <c r="B33" s="24">
        <v>94.71</v>
      </c>
      <c r="C33" s="24">
        <f t="shared" si="0"/>
        <v>1.598369448616177E-2</v>
      </c>
      <c r="D33" s="46">
        <f t="shared" si="1"/>
        <v>5.6691281580302667E-3</v>
      </c>
    </row>
    <row r="34" spans="1:4" x14ac:dyDescent="0.3">
      <c r="A34" s="28">
        <v>45170</v>
      </c>
      <c r="B34" s="24">
        <v>97.44</v>
      </c>
      <c r="C34" s="24">
        <f t="shared" si="0"/>
        <v>2.8824833702882469E-2</v>
      </c>
      <c r="D34" s="46">
        <f t="shared" si="1"/>
        <v>1.8510267374750963E-2</v>
      </c>
    </row>
    <row r="35" spans="1:4" x14ac:dyDescent="0.3">
      <c r="A35" s="28">
        <v>45200</v>
      </c>
      <c r="B35" s="24">
        <v>82.28</v>
      </c>
      <c r="C35" s="24">
        <f t="shared" si="0"/>
        <v>-0.15558292282430208</v>
      </c>
      <c r="D35" s="46">
        <f t="shared" si="1"/>
        <v>-0.16589748915243357</v>
      </c>
    </row>
    <row r="36" spans="1:4" x14ac:dyDescent="0.3">
      <c r="A36" s="28">
        <v>45231</v>
      </c>
      <c r="B36" s="24">
        <v>82.05</v>
      </c>
      <c r="C36" s="24">
        <f t="shared" si="0"/>
        <v>-2.7953330092368445E-3</v>
      </c>
      <c r="D36" s="46">
        <f t="shared" si="1"/>
        <v>-1.3109899337368348E-2</v>
      </c>
    </row>
    <row r="37" spans="1:4" x14ac:dyDescent="0.3">
      <c r="A37" s="28">
        <v>45261</v>
      </c>
      <c r="B37" s="24">
        <v>86.18</v>
      </c>
      <c r="C37" s="24">
        <f t="shared" si="0"/>
        <v>5.0335161486898317E-2</v>
      </c>
      <c r="D37" s="46">
        <f t="shared" si="1"/>
        <v>4.0020595158766811E-2</v>
      </c>
    </row>
    <row r="38" spans="1:4" x14ac:dyDescent="0.3">
      <c r="A38" s="28">
        <v>45292</v>
      </c>
      <c r="B38" s="24">
        <v>89.64</v>
      </c>
      <c r="C38" s="24">
        <f>B38/B37-1</f>
        <v>4.0148526340218149E-2</v>
      </c>
      <c r="D38" s="46">
        <f t="shared" si="1"/>
        <v>2.9833960012086644E-2</v>
      </c>
    </row>
    <row r="39" spans="1:4" x14ac:dyDescent="0.3">
      <c r="D39" s="3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56B3D-1D6B-4029-8705-509B404A15C1}">
  <sheetPr codeName="Sheet10"/>
  <dimension ref="C1:K22"/>
  <sheetViews>
    <sheetView showGridLines="0" topLeftCell="A14" zoomScale="65" workbookViewId="0">
      <selection activeCell="E7" sqref="E7"/>
    </sheetView>
  </sheetViews>
  <sheetFormatPr baseColWidth="10" defaultColWidth="11" defaultRowHeight="15.6" x14ac:dyDescent="0.3"/>
  <cols>
    <col min="1" max="1" width="4.09765625" customWidth="1"/>
    <col min="2" max="3" width="13" customWidth="1"/>
    <col min="4" max="4" width="17" bestFit="1" customWidth="1"/>
    <col min="5" max="5" width="17.19921875" bestFit="1" customWidth="1"/>
    <col min="6" max="6" width="19.796875" customWidth="1"/>
    <col min="7" max="7" width="15.59765625" bestFit="1" customWidth="1"/>
    <col min="8" max="8" width="15.5" bestFit="1" customWidth="1"/>
    <col min="9" max="10" width="9"/>
  </cols>
  <sheetData>
    <row r="1" spans="3:11" x14ac:dyDescent="0.3">
      <c r="C1" s="59"/>
      <c r="D1" s="59" t="s">
        <v>138</v>
      </c>
      <c r="E1" s="59"/>
      <c r="F1" s="59"/>
    </row>
    <row r="2" spans="3:11" x14ac:dyDescent="0.3">
      <c r="C2" s="58" t="s">
        <v>139</v>
      </c>
      <c r="D2" s="58" t="s">
        <v>140</v>
      </c>
      <c r="E2" s="58" t="s">
        <v>141</v>
      </c>
      <c r="F2" s="58" t="s">
        <v>142</v>
      </c>
    </row>
    <row r="3" spans="3:11" x14ac:dyDescent="0.3">
      <c r="C3" s="47">
        <v>2021</v>
      </c>
      <c r="D3" s="55">
        <f>CR!B5/CR!B2</f>
        <v>0.71290484891819605</v>
      </c>
      <c r="E3" s="55">
        <f>CR!B15/CR!B2</f>
        <v>0.21519557215116125</v>
      </c>
      <c r="F3" s="12">
        <f>CR!B21/CR!B2</f>
        <v>0.16628267259871296</v>
      </c>
    </row>
    <row r="4" spans="3:11" x14ac:dyDescent="0.3">
      <c r="C4" s="47">
        <v>2022</v>
      </c>
      <c r="D4" s="55">
        <f>CR!C5/CR!C2</f>
        <v>0.73712119450194202</v>
      </c>
      <c r="E4" s="55">
        <f>CR!C15/CR!C2</f>
        <v>0.24783124404028187</v>
      </c>
      <c r="F4" s="12">
        <f>CR!C21/CR!C2</f>
        <v>0.19731609182035956</v>
      </c>
    </row>
    <row r="5" spans="3:11" x14ac:dyDescent="0.3">
      <c r="C5" s="47">
        <v>2023</v>
      </c>
      <c r="D5" s="55">
        <f>CR!D5/CR!D2</f>
        <v>0.74780589737636405</v>
      </c>
      <c r="E5" s="55">
        <f>CR!D15/CR!D2</f>
        <v>0.18284188530299511</v>
      </c>
      <c r="F5" s="12">
        <f>CR!D21/CR!D2</f>
        <v>0.12621314139772463</v>
      </c>
      <c r="G5" s="49"/>
    </row>
    <row r="6" spans="3:11" x14ac:dyDescent="0.3">
      <c r="C6" s="47"/>
      <c r="D6" s="48"/>
      <c r="E6" s="48"/>
    </row>
    <row r="7" spans="3:11" x14ac:dyDescent="0.3">
      <c r="C7" s="50"/>
      <c r="D7" s="51"/>
      <c r="E7" s="51"/>
    </row>
    <row r="9" spans="3:11" x14ac:dyDescent="0.3">
      <c r="C9" s="145" t="s">
        <v>143</v>
      </c>
      <c r="D9" s="145"/>
      <c r="E9" s="145"/>
    </row>
    <row r="10" spans="3:11" x14ac:dyDescent="0.3">
      <c r="C10" s="58" t="s">
        <v>139</v>
      </c>
      <c r="D10" s="58" t="s">
        <v>144</v>
      </c>
      <c r="E10" s="58" t="s">
        <v>145</v>
      </c>
    </row>
    <row r="11" spans="3:11" x14ac:dyDescent="0.3">
      <c r="C11" s="47">
        <v>2021</v>
      </c>
      <c r="D11" s="14">
        <f>(CR!B21+CR!B16)/Bilan!K10</f>
        <v>8.5628196027871542E-2</v>
      </c>
      <c r="E11" s="12">
        <f>CR!B21/Bilan!K10</f>
        <v>9.0959134301980271E-2</v>
      </c>
    </row>
    <row r="12" spans="3:11" x14ac:dyDescent="0.3">
      <c r="C12" s="47">
        <v>2022</v>
      </c>
      <c r="D12" s="14">
        <f>(CR!C21+CR!C16)/Bilan!L10</f>
        <v>0.10702216545594849</v>
      </c>
      <c r="E12" s="12">
        <f>CR!C21/Bilan!L10</f>
        <v>0.11287618743514009</v>
      </c>
      <c r="K12" s="12"/>
    </row>
    <row r="13" spans="3:11" x14ac:dyDescent="0.3">
      <c r="C13" s="47">
        <v>2023</v>
      </c>
      <c r="D13" s="12">
        <f>(CR!D21+CR!D16)/Bilan!M10</f>
        <v>5.544200306591722E-2</v>
      </c>
      <c r="E13" s="12">
        <f>CR!D21/Bilan!M10</f>
        <v>7.3097921092972598E-2</v>
      </c>
    </row>
    <row r="14" spans="3:11" x14ac:dyDescent="0.3">
      <c r="C14" s="47"/>
      <c r="D14" s="52"/>
      <c r="E14" s="52"/>
    </row>
    <row r="15" spans="3:11" x14ac:dyDescent="0.3">
      <c r="C15" s="53"/>
      <c r="D15" s="54"/>
      <c r="E15" s="54"/>
    </row>
    <row r="18" spans="4:8" x14ac:dyDescent="0.3">
      <c r="D18" s="12"/>
    </row>
    <row r="21" spans="4:8" hidden="1" x14ac:dyDescent="0.3"/>
    <row r="22" spans="4:8" hidden="1" x14ac:dyDescent="0.3">
      <c r="D22" s="56" t="s">
        <v>38</v>
      </c>
      <c r="E22" s="57"/>
      <c r="F22" s="56">
        <v>2021</v>
      </c>
      <c r="G22" s="56">
        <v>2022</v>
      </c>
      <c r="H22" s="56">
        <v>2023</v>
      </c>
    </row>
  </sheetData>
  <mergeCells count="1">
    <mergeCell ref="C9:E9"/>
  </mergeCells>
  <pageMargins left="0.7" right="0.7" top="0.75" bottom="0.75" header="0.3" footer="0.3"/>
  <pageSetup paperSize="9" orientation="portrait" horizontalDpi="0" verticalDpi="0"/>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DB578-9098-470C-9F1F-CDF0F76571DF}">
  <sheetPr codeName="Sheet11"/>
  <dimension ref="A1:X127"/>
  <sheetViews>
    <sheetView showGridLines="0" tabSelected="1" topLeftCell="B20" zoomScale="48" zoomScaleNormal="65" workbookViewId="0">
      <selection activeCell="M122" sqref="M122"/>
    </sheetView>
  </sheetViews>
  <sheetFormatPr baseColWidth="10" defaultColWidth="11.19921875" defaultRowHeight="14.4" x14ac:dyDescent="0.3"/>
  <cols>
    <col min="1" max="1" width="56.69921875" style="62" customWidth="1"/>
    <col min="2" max="5" width="11.19921875" style="62"/>
    <col min="6" max="6" width="64.69921875" style="62" customWidth="1"/>
    <col min="7" max="7" width="11.19921875" style="62"/>
    <col min="8" max="8" width="31.19921875" style="62" customWidth="1"/>
    <col min="9" max="9" width="18.69921875" style="62" customWidth="1"/>
    <col min="10" max="10" width="21.19921875" style="62" customWidth="1"/>
    <col min="11" max="11" width="34.59765625" style="62" customWidth="1"/>
    <col min="12" max="12" width="29" style="62" customWidth="1"/>
    <col min="13" max="13" width="28.19921875" style="62" customWidth="1"/>
    <col min="14" max="21" width="10.296875" style="99" customWidth="1"/>
    <col min="22" max="22" width="14.296875" style="99" customWidth="1"/>
    <col min="23" max="16384" width="11.19921875" style="62"/>
  </cols>
  <sheetData>
    <row r="1" spans="1:22" ht="15.6" x14ac:dyDescent="0.3">
      <c r="A1" s="61" t="s">
        <v>0</v>
      </c>
      <c r="B1" s="1">
        <v>2021</v>
      </c>
      <c r="C1" s="1">
        <v>2022</v>
      </c>
      <c r="D1" s="1">
        <v>2023</v>
      </c>
      <c r="T1" s="117" t="s">
        <v>246</v>
      </c>
      <c r="V1" s="120">
        <f>SUM(P31:V31)</f>
        <v>22627.418956917405</v>
      </c>
    </row>
    <row r="2" spans="1:22" ht="15.6" x14ac:dyDescent="0.3">
      <c r="A2" s="7" t="s">
        <v>1</v>
      </c>
      <c r="B2" s="7">
        <v>37761</v>
      </c>
      <c r="C2" s="7">
        <v>42997</v>
      </c>
      <c r="D2" s="7">
        <v>43070</v>
      </c>
      <c r="F2" s="63" t="s">
        <v>146</v>
      </c>
      <c r="H2" s="62" t="s">
        <v>81</v>
      </c>
      <c r="I2" s="62" t="s">
        <v>147</v>
      </c>
      <c r="J2" s="64" t="s">
        <v>148</v>
      </c>
      <c r="K2" s="65" t="s">
        <v>149</v>
      </c>
      <c r="N2" s="99" t="s">
        <v>128</v>
      </c>
      <c r="O2" s="100">
        <v>0.02</v>
      </c>
      <c r="T2" s="117" t="s">
        <v>247</v>
      </c>
      <c r="V2" s="112">
        <f>(V31*(1+O2)/(O3-O2))*(1/(1+O3)^6)</f>
        <v>48185.279693386867</v>
      </c>
    </row>
    <row r="3" spans="1:22" ht="15.6" x14ac:dyDescent="0.3">
      <c r="A3" s="62" t="s">
        <v>2</v>
      </c>
      <c r="B3" s="62">
        <v>1414</v>
      </c>
      <c r="C3" s="62">
        <v>2392</v>
      </c>
      <c r="D3" s="62">
        <v>3374</v>
      </c>
      <c r="H3" s="62">
        <v>2021</v>
      </c>
      <c r="I3" s="7">
        <v>37761</v>
      </c>
      <c r="N3" s="99" t="s">
        <v>126</v>
      </c>
      <c r="O3" s="101">
        <f>WACC!C18</f>
        <v>6.5151227122537236E-2</v>
      </c>
      <c r="T3" s="118"/>
    </row>
    <row r="4" spans="1:22" ht="15.6" x14ac:dyDescent="0.3">
      <c r="A4" s="62" t="s">
        <v>3</v>
      </c>
      <c r="B4" s="62">
        <v>12255</v>
      </c>
      <c r="C4" s="62">
        <v>13695</v>
      </c>
      <c r="D4" s="62">
        <v>14236</v>
      </c>
      <c r="H4" s="62">
        <v>2022</v>
      </c>
      <c r="I4" s="7">
        <v>42997</v>
      </c>
      <c r="J4" s="66">
        <f>(I4-I3)/I3</f>
        <v>0.13866158205555998</v>
      </c>
      <c r="T4" s="118" t="s">
        <v>248</v>
      </c>
      <c r="V4" s="109">
        <f>SUM(V1:V2)</f>
        <v>70812.698650304272</v>
      </c>
    </row>
    <row r="5" spans="1:22" ht="15.6" x14ac:dyDescent="0.3">
      <c r="A5" s="7" t="s">
        <v>4</v>
      </c>
      <c r="B5" s="7">
        <v>26920</v>
      </c>
      <c r="C5" s="7">
        <v>31694</v>
      </c>
      <c r="D5" s="7">
        <v>32208</v>
      </c>
      <c r="H5" s="62">
        <v>2023</v>
      </c>
      <c r="I5" s="7">
        <v>43070</v>
      </c>
      <c r="J5" s="66">
        <f>(I5-I4)/I4</f>
        <v>1.697792869269949E-3</v>
      </c>
      <c r="K5" s="66">
        <f>(J4+J5)/2</f>
        <v>7.0179687462414958E-2</v>
      </c>
      <c r="T5" s="118" t="s">
        <v>249</v>
      </c>
      <c r="V5" s="121">
        <f>Bilan!N21</f>
        <v>7682</v>
      </c>
    </row>
    <row r="6" spans="1:22" x14ac:dyDescent="0.3">
      <c r="A6" s="62" t="s">
        <v>5</v>
      </c>
      <c r="B6" s="62">
        <v>5692</v>
      </c>
      <c r="C6" s="62">
        <v>6706</v>
      </c>
      <c r="D6" s="62">
        <v>6728</v>
      </c>
      <c r="I6" s="62" t="s">
        <v>150</v>
      </c>
      <c r="T6" s="119" t="s">
        <v>250</v>
      </c>
      <c r="V6" s="109">
        <f>V4-V5</f>
        <v>63130.698650304272</v>
      </c>
    </row>
    <row r="7" spans="1:22" x14ac:dyDescent="0.3">
      <c r="A7" s="62" t="s">
        <v>6</v>
      </c>
      <c r="B7" s="62">
        <v>9555</v>
      </c>
      <c r="C7" s="62">
        <v>10492</v>
      </c>
      <c r="D7" s="62">
        <v>10692</v>
      </c>
      <c r="H7" s="63">
        <v>2024</v>
      </c>
      <c r="I7" s="67">
        <f>I5*(1+K5)</f>
        <v>46092.639139006213</v>
      </c>
    </row>
    <row r="8" spans="1:22" x14ac:dyDescent="0.3">
      <c r="A8" s="62" t="s">
        <v>8</v>
      </c>
      <c r="B8" s="62">
        <v>859</v>
      </c>
      <c r="C8" s="62">
        <v>1969</v>
      </c>
      <c r="D8" s="62">
        <v>1292</v>
      </c>
      <c r="H8" s="63">
        <v>2025</v>
      </c>
      <c r="I8" s="67">
        <f>I7*(1+K5)</f>
        <v>49327.406148099544</v>
      </c>
      <c r="M8" s="62" t="s">
        <v>81</v>
      </c>
      <c r="N8" s="99">
        <v>2021</v>
      </c>
      <c r="O8" s="99">
        <v>2022</v>
      </c>
      <c r="P8" s="99">
        <v>2023</v>
      </c>
      <c r="Q8" s="102">
        <v>2024</v>
      </c>
      <c r="R8" s="102">
        <v>2025</v>
      </c>
      <c r="S8" s="102">
        <v>2026</v>
      </c>
      <c r="T8" s="102">
        <v>2027</v>
      </c>
      <c r="U8" s="102">
        <v>2028</v>
      </c>
      <c r="V8" s="102">
        <v>2029</v>
      </c>
    </row>
    <row r="9" spans="1:22" ht="15.6" x14ac:dyDescent="0.3">
      <c r="A9" s="62" t="s">
        <v>9</v>
      </c>
      <c r="B9" s="62">
        <v>-1805</v>
      </c>
      <c r="C9" s="62">
        <v>-2531</v>
      </c>
      <c r="D9" s="62">
        <v>-3516</v>
      </c>
      <c r="H9" s="63">
        <v>2026</v>
      </c>
      <c r="I9" s="67">
        <f>I8*(1+K5)</f>
        <v>52789.188094904777</v>
      </c>
      <c r="M9" s="75" t="s">
        <v>147</v>
      </c>
      <c r="N9" s="103">
        <f>B2</f>
        <v>37761</v>
      </c>
      <c r="O9" s="103">
        <f>C2</f>
        <v>42997</v>
      </c>
      <c r="P9" s="103">
        <f>D2</f>
        <v>43070</v>
      </c>
      <c r="Q9" s="104">
        <f t="shared" ref="Q9:V9" si="0">P9*(1+Q10)</f>
        <v>46092.639139006213</v>
      </c>
      <c r="R9" s="104">
        <f t="shared" si="0"/>
        <v>48864.823302836907</v>
      </c>
      <c r="S9" s="104">
        <f t="shared" si="0"/>
        <v>51215.954274877491</v>
      </c>
      <c r="T9" s="104">
        <f t="shared" si="0"/>
        <v>53187.358785840501</v>
      </c>
      <c r="U9" s="104">
        <f t="shared" si="0"/>
        <v>54825.189036529351</v>
      </c>
      <c r="V9" s="104">
        <f t="shared" si="0"/>
        <v>55921.692817259936</v>
      </c>
    </row>
    <row r="10" spans="1:22" ht="15.6" x14ac:dyDescent="0.3">
      <c r="A10" s="62" t="s">
        <v>10</v>
      </c>
      <c r="B10" s="62">
        <v>-1580</v>
      </c>
      <c r="C10" s="62">
        <v>-2053</v>
      </c>
      <c r="D10" s="62">
        <v>-2172</v>
      </c>
      <c r="M10" s="96" t="s">
        <v>231</v>
      </c>
      <c r="O10" s="105">
        <f>(O9-N9)/N9</f>
        <v>0.13866158205555998</v>
      </c>
      <c r="P10" s="105">
        <f>(P9-O9)/O9</f>
        <v>1.697792869269949E-3</v>
      </c>
      <c r="Q10" s="106">
        <f>(O10+P10)/2</f>
        <v>7.0179687462414958E-2</v>
      </c>
      <c r="R10" s="107">
        <f>Q10-(Q10-V10)/5</f>
        <v>6.0143749969931964E-2</v>
      </c>
      <c r="S10" s="107">
        <f>R10-(R10-W10)/5</f>
        <v>4.8114999975945573E-2</v>
      </c>
      <c r="T10" s="107">
        <f>S10-(S10-X10)/5</f>
        <v>3.8491999980756461E-2</v>
      </c>
      <c r="U10" s="107">
        <f>T10-(T10-Y8)/5</f>
        <v>3.079359998460517E-2</v>
      </c>
      <c r="V10" s="108">
        <f>O2</f>
        <v>0.02</v>
      </c>
    </row>
    <row r="11" spans="1:22" x14ac:dyDescent="0.3">
      <c r="A11" s="62" t="s">
        <v>11</v>
      </c>
      <c r="B11" s="62">
        <v>-192</v>
      </c>
      <c r="C11" s="62">
        <v>454</v>
      </c>
      <c r="D11" s="62">
        <v>-896</v>
      </c>
      <c r="G11" s="62" t="s">
        <v>151</v>
      </c>
      <c r="H11" s="62" t="s">
        <v>152</v>
      </c>
      <c r="M11" s="75"/>
    </row>
    <row r="12" spans="1:22" ht="15.6" x14ac:dyDescent="0.3">
      <c r="A12" s="62" t="s">
        <v>12</v>
      </c>
      <c r="B12" s="62">
        <v>-4</v>
      </c>
      <c r="C12" s="62">
        <v>27</v>
      </c>
      <c r="D12" s="62">
        <v>-93</v>
      </c>
      <c r="G12" s="62" t="s">
        <v>153</v>
      </c>
      <c r="H12" s="62" t="s">
        <v>154</v>
      </c>
      <c r="M12" s="75" t="s">
        <v>7</v>
      </c>
      <c r="N12" s="103">
        <f>CR!G8</f>
        <v>10727</v>
      </c>
      <c r="O12" s="103">
        <f>CR!H8</f>
        <v>13934</v>
      </c>
      <c r="P12" s="103">
        <f>CR!I8</f>
        <v>12564</v>
      </c>
      <c r="Q12" s="104">
        <f>Q$9*Q13</f>
        <v>13445.737593277781</v>
      </c>
      <c r="R12" s="104">
        <f>R9*R13</f>
        <v>14254.414673249197</v>
      </c>
      <c r="S12" s="104">
        <f>S9*S13</f>
        <v>14940.2658349097</v>
      </c>
      <c r="T12" s="104">
        <f>T9*T13</f>
        <v>15515.346547139541</v>
      </c>
      <c r="U12" s="104">
        <f>U9*U13</f>
        <v>15993.119922334683</v>
      </c>
      <c r="V12" s="104">
        <f>V9*V13</f>
        <v>16312.982320781375</v>
      </c>
    </row>
    <row r="13" spans="1:22" ht="15.6" x14ac:dyDescent="0.3">
      <c r="A13" s="62" t="s">
        <v>13</v>
      </c>
      <c r="B13" s="62">
        <v>-820</v>
      </c>
      <c r="C13" s="62">
        <v>-1336</v>
      </c>
      <c r="D13" s="62">
        <v>-1.49</v>
      </c>
      <c r="M13" s="96" t="s">
        <v>232</v>
      </c>
      <c r="N13" s="105">
        <f>N12/N$9</f>
        <v>0.28407616323720242</v>
      </c>
      <c r="O13" s="105">
        <f>O12/O$9</f>
        <v>0.32406912110147218</v>
      </c>
      <c r="P13" s="105">
        <f>P12/P$9</f>
        <v>0.29171116786626422</v>
      </c>
      <c r="Q13" s="107">
        <f t="shared" ref="Q13:V13" si="1">P13</f>
        <v>0.29171116786626422</v>
      </c>
      <c r="R13" s="107">
        <f t="shared" si="1"/>
        <v>0.29171116786626422</v>
      </c>
      <c r="S13" s="107">
        <f t="shared" si="1"/>
        <v>0.29171116786626422</v>
      </c>
      <c r="T13" s="107">
        <f t="shared" si="1"/>
        <v>0.29171116786626422</v>
      </c>
      <c r="U13" s="107">
        <f t="shared" si="1"/>
        <v>0.29171116786626422</v>
      </c>
      <c r="V13" s="107">
        <f t="shared" si="1"/>
        <v>0.29171116786626422</v>
      </c>
    </row>
    <row r="14" spans="1:22" x14ac:dyDescent="0.3">
      <c r="A14" s="62" t="s">
        <v>14</v>
      </c>
      <c r="B14" s="62">
        <v>-5</v>
      </c>
      <c r="C14" s="62">
        <v>-370</v>
      </c>
      <c r="D14" s="62">
        <v>-38</v>
      </c>
      <c r="H14" s="68" t="s">
        <v>155</v>
      </c>
      <c r="M14" s="75"/>
    </row>
    <row r="15" spans="1:22" ht="15.6" x14ac:dyDescent="0.3">
      <c r="A15" s="7" t="s">
        <v>15</v>
      </c>
      <c r="B15" s="7">
        <v>8126</v>
      </c>
      <c r="C15" s="7">
        <v>10656</v>
      </c>
      <c r="D15" s="7">
        <v>7875</v>
      </c>
      <c r="M15" s="75" t="s">
        <v>233</v>
      </c>
      <c r="N15" s="103">
        <f>-CR!B10-CR!B11</f>
        <v>1772</v>
      </c>
      <c r="O15" s="103">
        <f>-CR!C10-CR!C11</f>
        <v>1599</v>
      </c>
      <c r="P15" s="103">
        <f>-CR!D10-CR!D11</f>
        <v>3068</v>
      </c>
      <c r="Q15" s="104">
        <f t="shared" ref="Q15:V15" si="2">Q$9*Q16</f>
        <v>2386.8034729289457</v>
      </c>
      <c r="R15" s="104">
        <f t="shared" si="2"/>
        <v>2530.3547842321495</v>
      </c>
      <c r="S15" s="104">
        <f t="shared" si="2"/>
        <v>2652.1028046146134</v>
      </c>
      <c r="T15" s="104">
        <f t="shared" si="2"/>
        <v>2754.187545718803</v>
      </c>
      <c r="U15" s="104">
        <f t="shared" si="2"/>
        <v>2838.9988952842496</v>
      </c>
      <c r="V15" s="104">
        <f t="shared" si="2"/>
        <v>2895.7788731899345</v>
      </c>
    </row>
    <row r="16" spans="1:22" ht="15.6" x14ac:dyDescent="0.3">
      <c r="A16" s="62" t="s">
        <v>16</v>
      </c>
      <c r="B16" s="62">
        <v>-368</v>
      </c>
      <c r="C16" s="62">
        <v>-440</v>
      </c>
      <c r="D16" s="62">
        <v>-1313</v>
      </c>
      <c r="G16" s="62" t="s">
        <v>156</v>
      </c>
      <c r="H16" s="62" t="s">
        <v>157</v>
      </c>
      <c r="M16" s="96" t="s">
        <v>234</v>
      </c>
      <c r="N16" s="105">
        <f>N15/N$9</f>
        <v>4.6926723338894624E-2</v>
      </c>
      <c r="O16" s="105">
        <f>O15/O$9</f>
        <v>3.718864106798149E-2</v>
      </c>
      <c r="P16" s="105">
        <f>P15/P$9</f>
        <v>7.1232876712328766E-2</v>
      </c>
      <c r="Q16" s="107">
        <f>AVERAGE(N16:P16)</f>
        <v>5.1782747039734955E-2</v>
      </c>
      <c r="R16" s="107">
        <f>Q16</f>
        <v>5.1782747039734955E-2</v>
      </c>
      <c r="S16" s="107">
        <f>R16</f>
        <v>5.1782747039734955E-2</v>
      </c>
      <c r="T16" s="107">
        <f>S16</f>
        <v>5.1782747039734955E-2</v>
      </c>
      <c r="U16" s="107">
        <f>T16</f>
        <v>5.1782747039734955E-2</v>
      </c>
      <c r="V16" s="107">
        <f>U16</f>
        <v>5.1782747039734955E-2</v>
      </c>
    </row>
    <row r="17" spans="1:24" x14ac:dyDescent="0.3">
      <c r="A17" s="62" t="s">
        <v>17</v>
      </c>
      <c r="B17" s="62">
        <v>40</v>
      </c>
      <c r="C17" s="62">
        <v>206</v>
      </c>
      <c r="D17" s="62">
        <v>591</v>
      </c>
      <c r="H17" s="62" t="s">
        <v>158</v>
      </c>
      <c r="N17" s="109"/>
    </row>
    <row r="18" spans="1:24" ht="15.6" x14ac:dyDescent="0.3">
      <c r="A18" s="7" t="s">
        <v>18</v>
      </c>
      <c r="B18" s="7">
        <v>7798</v>
      </c>
      <c r="C18" s="7">
        <v>10422</v>
      </c>
      <c r="D18" s="7">
        <v>7153</v>
      </c>
      <c r="M18" s="75" t="s">
        <v>229</v>
      </c>
      <c r="N18" s="103">
        <f>B15</f>
        <v>8126</v>
      </c>
      <c r="O18" s="103">
        <f>C15</f>
        <v>10656</v>
      </c>
      <c r="P18" s="103">
        <f>D15</f>
        <v>7875</v>
      </c>
      <c r="Q18" s="104">
        <f t="shared" ref="Q18:V18" si="3">Q$9*Q19</f>
        <v>9923.2643297205541</v>
      </c>
      <c r="R18" s="104">
        <f t="shared" si="3"/>
        <v>10520.086658452812</v>
      </c>
      <c r="S18" s="104">
        <f t="shared" si="3"/>
        <v>11026.260627771215</v>
      </c>
      <c r="T18" s="104">
        <f t="shared" si="3"/>
        <v>11450.683451643201</v>
      </c>
      <c r="U18" s="104">
        <f t="shared" si="3"/>
        <v>11803.291217403441</v>
      </c>
      <c r="V18" s="104">
        <f t="shared" si="3"/>
        <v>12039.357041751509</v>
      </c>
      <c r="X18" s="97" t="s">
        <v>238</v>
      </c>
    </row>
    <row r="19" spans="1:24" ht="15.6" x14ac:dyDescent="0.3">
      <c r="A19" s="62" t="s">
        <v>19</v>
      </c>
      <c r="B19" s="62">
        <v>-1558</v>
      </c>
      <c r="C19" s="62">
        <v>-2006</v>
      </c>
      <c r="D19" s="62">
        <v>-1602</v>
      </c>
      <c r="H19" s="69" t="s">
        <v>159</v>
      </c>
      <c r="M19" s="96" t="s">
        <v>230</v>
      </c>
      <c r="N19" s="105">
        <f>N18/N$9</f>
        <v>0.21519557215116125</v>
      </c>
      <c r="O19" s="105">
        <f>O18/O$9</f>
        <v>0.24783124404028187</v>
      </c>
      <c r="P19" s="105">
        <f>P18/P$9</f>
        <v>0.18284188530299511</v>
      </c>
      <c r="Q19" s="107">
        <f>AVERAGE(N19:P19)</f>
        <v>0.21528956716481273</v>
      </c>
      <c r="R19" s="107">
        <f>Q19</f>
        <v>0.21528956716481273</v>
      </c>
      <c r="S19" s="107">
        <f>R19</f>
        <v>0.21528956716481273</v>
      </c>
      <c r="T19" s="107">
        <f>S19</f>
        <v>0.21528956716481273</v>
      </c>
      <c r="U19" s="107">
        <f>T19</f>
        <v>0.21528956716481273</v>
      </c>
      <c r="V19" s="107">
        <f>U19</f>
        <v>0.21528956716481273</v>
      </c>
    </row>
    <row r="20" spans="1:24" x14ac:dyDescent="0.3">
      <c r="A20" s="62" t="s">
        <v>20</v>
      </c>
      <c r="B20" s="62">
        <v>39</v>
      </c>
      <c r="C20" s="62">
        <v>68</v>
      </c>
      <c r="D20" s="62">
        <v>-115</v>
      </c>
      <c r="H20" s="62" t="s">
        <v>160</v>
      </c>
    </row>
    <row r="21" spans="1:24" ht="15.6" x14ac:dyDescent="0.3">
      <c r="A21" s="4" t="s">
        <v>21</v>
      </c>
      <c r="B21" s="4">
        <v>6279</v>
      </c>
      <c r="C21" s="4">
        <v>8484</v>
      </c>
      <c r="D21" s="4">
        <v>5436</v>
      </c>
      <c r="M21" s="75" t="s">
        <v>235</v>
      </c>
      <c r="N21" s="103">
        <f>-CR!B19</f>
        <v>1558</v>
      </c>
      <c r="O21" s="103">
        <f>-CR!C19</f>
        <v>2006</v>
      </c>
      <c r="P21" s="103">
        <f>-CR!D19</f>
        <v>1602</v>
      </c>
      <c r="Q21" s="104">
        <f t="shared" ref="Q21:V21" si="4">Q18*Q22</f>
        <v>2480.8160824301385</v>
      </c>
      <c r="R21" s="104">
        <f t="shared" si="4"/>
        <v>2630.021664613203</v>
      </c>
      <c r="S21" s="104">
        <f t="shared" si="4"/>
        <v>2756.5651569428037</v>
      </c>
      <c r="T21" s="104">
        <f t="shared" si="4"/>
        <v>2862.6708629108002</v>
      </c>
      <c r="U21" s="104">
        <f t="shared" si="4"/>
        <v>2950.8228043508602</v>
      </c>
      <c r="V21" s="104">
        <f t="shared" si="4"/>
        <v>3009.8392604378773</v>
      </c>
      <c r="X21" s="97" t="s">
        <v>237</v>
      </c>
    </row>
    <row r="22" spans="1:24" ht="15.6" x14ac:dyDescent="0.3">
      <c r="A22" s="62" t="s">
        <v>22</v>
      </c>
      <c r="B22" s="62">
        <v>56</v>
      </c>
      <c r="C22" s="62">
        <v>113</v>
      </c>
      <c r="D22" s="62">
        <v>36</v>
      </c>
      <c r="G22" s="62" t="s">
        <v>161</v>
      </c>
      <c r="H22" s="62" t="s">
        <v>162</v>
      </c>
      <c r="M22" s="96" t="s">
        <v>236</v>
      </c>
      <c r="N22" s="110">
        <v>0.25</v>
      </c>
      <c r="O22" s="111">
        <f t="shared" ref="O22:V22" si="5">N22</f>
        <v>0.25</v>
      </c>
      <c r="P22" s="111">
        <f t="shared" si="5"/>
        <v>0.25</v>
      </c>
      <c r="Q22" s="111">
        <f t="shared" si="5"/>
        <v>0.25</v>
      </c>
      <c r="R22" s="111">
        <f t="shared" si="5"/>
        <v>0.25</v>
      </c>
      <c r="S22" s="111">
        <f t="shared" si="5"/>
        <v>0.25</v>
      </c>
      <c r="T22" s="111">
        <f t="shared" si="5"/>
        <v>0.25</v>
      </c>
      <c r="U22" s="111">
        <f t="shared" si="5"/>
        <v>0.25</v>
      </c>
      <c r="V22" s="111">
        <f t="shared" si="5"/>
        <v>0.25</v>
      </c>
    </row>
    <row r="23" spans="1:24" ht="15.6" x14ac:dyDescent="0.3">
      <c r="A23" s="3" t="s">
        <v>23</v>
      </c>
      <c r="B23" s="3">
        <v>6223</v>
      </c>
      <c r="C23" s="3">
        <v>8371</v>
      </c>
      <c r="D23" s="3">
        <v>5400</v>
      </c>
      <c r="H23" s="62" t="s">
        <v>163</v>
      </c>
    </row>
    <row r="24" spans="1:24" ht="15.6" x14ac:dyDescent="0.3">
      <c r="A24" s="62" t="s">
        <v>24</v>
      </c>
      <c r="B24" s="62">
        <v>1252.5</v>
      </c>
      <c r="C24" s="62">
        <v>1251.9000000000001</v>
      </c>
      <c r="D24" s="62">
        <v>1251.7</v>
      </c>
      <c r="M24" s="75" t="s">
        <v>239</v>
      </c>
      <c r="N24" s="103">
        <f>Bilan!B3</f>
        <v>10028</v>
      </c>
      <c r="O24" s="103">
        <f>Bilan!C3</f>
        <v>9869</v>
      </c>
      <c r="P24" s="103">
        <f>Bilan!D3</f>
        <v>10160</v>
      </c>
      <c r="Q24" s="104">
        <f t="shared" ref="Q24:V24" si="6">Q$9*Q25</f>
        <v>11231.050710229509</v>
      </c>
      <c r="R24" s="104">
        <f t="shared" si="6"/>
        <v>11906.528216045181</v>
      </c>
      <c r="S24" s="104">
        <f t="shared" si="6"/>
        <v>12479.410820873791</v>
      </c>
      <c r="T24" s="104">
        <f t="shared" si="6"/>
        <v>12959.768301950717</v>
      </c>
      <c r="U24" s="104">
        <f t="shared" si="6"/>
        <v>13358.846222934153</v>
      </c>
      <c r="V24" s="104">
        <f t="shared" si="6"/>
        <v>13626.023147392836</v>
      </c>
    </row>
    <row r="25" spans="1:24" ht="15.6" x14ac:dyDescent="0.3">
      <c r="A25" s="62" t="s">
        <v>25</v>
      </c>
      <c r="B25" s="62">
        <v>1257.9000000000001</v>
      </c>
      <c r="C25" s="62">
        <v>1256.9000000000001</v>
      </c>
      <c r="D25" s="62">
        <v>1256.4000000000001</v>
      </c>
      <c r="H25" s="70" t="s">
        <v>164</v>
      </c>
      <c r="M25" s="96" t="s">
        <v>240</v>
      </c>
      <c r="N25" s="105">
        <f>N24/N$9</f>
        <v>0.26556500092688223</v>
      </c>
      <c r="O25" s="105">
        <f>O24/O$9</f>
        <v>0.22952764146335791</v>
      </c>
      <c r="P25" s="105">
        <f>P24/P$9</f>
        <v>0.23589505456234039</v>
      </c>
      <c r="Q25" s="107">
        <f>AVERAGE(N25:P25)</f>
        <v>0.2436625656508602</v>
      </c>
      <c r="R25" s="107">
        <f>Q25</f>
        <v>0.2436625656508602</v>
      </c>
      <c r="S25" s="107">
        <f>R25</f>
        <v>0.2436625656508602</v>
      </c>
      <c r="T25" s="107">
        <f>S25</f>
        <v>0.2436625656508602</v>
      </c>
      <c r="U25" s="107">
        <f>T25</f>
        <v>0.2436625656508602</v>
      </c>
      <c r="V25" s="107">
        <f>U25</f>
        <v>0.2436625656508602</v>
      </c>
    </row>
    <row r="26" spans="1:24" x14ac:dyDescent="0.3">
      <c r="A26" s="62" t="s">
        <v>26</v>
      </c>
      <c r="B26" s="62">
        <v>4.97</v>
      </c>
      <c r="C26" s="62">
        <v>6.69</v>
      </c>
      <c r="D26" s="62">
        <v>4.3099999999999996</v>
      </c>
    </row>
    <row r="27" spans="1:24" x14ac:dyDescent="0.3">
      <c r="A27" s="62" t="s">
        <v>27</v>
      </c>
      <c r="B27" s="62">
        <v>4.95</v>
      </c>
      <c r="C27" s="62">
        <v>6.66</v>
      </c>
      <c r="D27" s="62">
        <v>4.3</v>
      </c>
      <c r="M27" s="75" t="s">
        <v>241</v>
      </c>
      <c r="O27" s="112">
        <f>O34-N34</f>
        <v>793</v>
      </c>
      <c r="P27" s="112">
        <f t="shared" ref="P27:V27" si="7">P34-O34</f>
        <v>-3601</v>
      </c>
      <c r="Q27" s="112">
        <f t="shared" si="7"/>
        <v>3210.6620031114126</v>
      </c>
      <c r="R27" s="112">
        <f t="shared" si="7"/>
        <v>581.69002130882654</v>
      </c>
      <c r="S27" s="112">
        <f t="shared" si="7"/>
        <v>493.34003240834136</v>
      </c>
      <c r="T27" s="112">
        <f t="shared" si="7"/>
        <v>413.66167044464055</v>
      </c>
      <c r="U27" s="112">
        <f t="shared" si="7"/>
        <v>343.6674683643505</v>
      </c>
      <c r="V27" s="112">
        <f t="shared" si="7"/>
        <v>230.08042391275012</v>
      </c>
    </row>
    <row r="28" spans="1:24" x14ac:dyDescent="0.3">
      <c r="F28" s="63" t="s">
        <v>165</v>
      </c>
    </row>
    <row r="29" spans="1:24" x14ac:dyDescent="0.3">
      <c r="M29" s="75" t="s">
        <v>243</v>
      </c>
      <c r="N29" s="109">
        <f t="shared" ref="N29:V29" si="8">N18+N15-N24+N27+N21</f>
        <v>1428</v>
      </c>
      <c r="O29" s="109">
        <f t="shared" si="8"/>
        <v>5185</v>
      </c>
      <c r="P29" s="109">
        <f t="shared" si="8"/>
        <v>-1216</v>
      </c>
      <c r="Q29" s="109">
        <f t="shared" si="8"/>
        <v>6770.495177961543</v>
      </c>
      <c r="R29" s="109">
        <f t="shared" si="8"/>
        <v>4355.6249125618106</v>
      </c>
      <c r="S29" s="109">
        <f t="shared" si="8"/>
        <v>4448.8578008631821</v>
      </c>
      <c r="T29" s="109">
        <f t="shared" si="8"/>
        <v>4521.435228766728</v>
      </c>
      <c r="U29" s="109">
        <f t="shared" si="8"/>
        <v>4577.9341624687477</v>
      </c>
      <c r="V29" s="109">
        <f t="shared" si="8"/>
        <v>4549.0324518992347</v>
      </c>
    </row>
    <row r="30" spans="1:24" x14ac:dyDescent="0.3">
      <c r="G30" s="62" t="s">
        <v>151</v>
      </c>
      <c r="H30" s="62" t="s">
        <v>166</v>
      </c>
    </row>
    <row r="31" spans="1:24" x14ac:dyDescent="0.3">
      <c r="G31" s="62" t="s">
        <v>153</v>
      </c>
      <c r="H31" s="62" t="s">
        <v>167</v>
      </c>
      <c r="M31" s="75" t="s">
        <v>244</v>
      </c>
      <c r="P31" s="113">
        <f t="shared" ref="P31:V31" si="9">P29/(1+$O$3)^(P8-2023)</f>
        <v>-1216</v>
      </c>
      <c r="Q31" s="113">
        <f t="shared" si="9"/>
        <v>6356.3698802204462</v>
      </c>
      <c r="R31" s="113">
        <f t="shared" si="9"/>
        <v>3839.0867791166961</v>
      </c>
      <c r="S31" s="113">
        <f t="shared" si="9"/>
        <v>3681.4144146061899</v>
      </c>
      <c r="T31" s="113">
        <f t="shared" si="9"/>
        <v>3512.6204518562768</v>
      </c>
      <c r="U31" s="113">
        <f t="shared" si="9"/>
        <v>3338.9751154745641</v>
      </c>
      <c r="V31" s="113">
        <f t="shared" si="9"/>
        <v>3114.9523156432315</v>
      </c>
    </row>
    <row r="32" spans="1:24" x14ac:dyDescent="0.3">
      <c r="H32" s="62" t="s">
        <v>168</v>
      </c>
      <c r="M32" s="75" t="s">
        <v>245</v>
      </c>
      <c r="P32" s="114">
        <f t="shared" ref="P32:V32" si="10">1/(1+$O$3)^(P8-2023)</f>
        <v>1</v>
      </c>
      <c r="Q32" s="114">
        <f t="shared" si="10"/>
        <v>0.93883382428376805</v>
      </c>
      <c r="R32" s="114">
        <f t="shared" si="10"/>
        <v>0.88140894961928506</v>
      </c>
      <c r="S32" s="114">
        <f t="shared" si="10"/>
        <v>0.82749653492901243</v>
      </c>
      <c r="T32" s="114">
        <f t="shared" si="10"/>
        <v>0.77688173646897141</v>
      </c>
      <c r="U32" s="114">
        <f t="shared" si="10"/>
        <v>0.72936285166537895</v>
      </c>
      <c r="V32" s="114">
        <f t="shared" si="10"/>
        <v>0.68475051531952247</v>
      </c>
    </row>
    <row r="34" spans="7:22" x14ac:dyDescent="0.3">
      <c r="H34" s="62" t="s">
        <v>164</v>
      </c>
      <c r="M34" s="75" t="s">
        <v>242</v>
      </c>
      <c r="N34" s="99">
        <f>Bilan!B17-Bilan!B37</f>
        <v>9269</v>
      </c>
      <c r="O34" s="99">
        <f>Bilan!C17-Bilan!C37</f>
        <v>10062</v>
      </c>
      <c r="P34" s="99">
        <f>Bilan!D17-Bilan!D37</f>
        <v>6461</v>
      </c>
      <c r="Q34" s="109">
        <f>Q9*Q35</f>
        <v>9671.6620031114126</v>
      </c>
      <c r="R34" s="109">
        <f t="shared" ref="R34:V34" si="11">R9*R35</f>
        <v>10253.352024420239</v>
      </c>
      <c r="S34" s="109">
        <f t="shared" si="11"/>
        <v>10746.69205682858</v>
      </c>
      <c r="T34" s="109">
        <f t="shared" si="11"/>
        <v>11160.353727273221</v>
      </c>
      <c r="U34" s="109">
        <f t="shared" si="11"/>
        <v>11504.021195637572</v>
      </c>
      <c r="V34" s="109">
        <f t="shared" si="11"/>
        <v>11734.101619550322</v>
      </c>
    </row>
    <row r="35" spans="7:22" x14ac:dyDescent="0.3">
      <c r="H35" s="62" t="s">
        <v>81</v>
      </c>
      <c r="I35" s="62" t="s">
        <v>150</v>
      </c>
      <c r="M35" s="98" t="s">
        <v>240</v>
      </c>
      <c r="N35" s="100">
        <f>N34/N9</f>
        <v>0.24546489764571913</v>
      </c>
      <c r="O35" s="100">
        <f>O34/O9</f>
        <v>0.23401632672046888</v>
      </c>
      <c r="P35" s="100">
        <f>P34/P9</f>
        <v>0.15001160900859067</v>
      </c>
      <c r="Q35" s="115">
        <f>AVERAGE(N35:P35)</f>
        <v>0.20983094445825956</v>
      </c>
      <c r="R35" s="115">
        <f>Q35</f>
        <v>0.20983094445825956</v>
      </c>
      <c r="S35" s="115">
        <f t="shared" ref="S35:V35" si="12">R35</f>
        <v>0.20983094445825956</v>
      </c>
      <c r="T35" s="115">
        <f t="shared" si="12"/>
        <v>0.20983094445825956</v>
      </c>
      <c r="U35" s="115">
        <f t="shared" si="12"/>
        <v>0.20983094445825956</v>
      </c>
      <c r="V35" s="115">
        <f t="shared" si="12"/>
        <v>0.20983094445825956</v>
      </c>
    </row>
    <row r="36" spans="7:22" x14ac:dyDescent="0.3">
      <c r="H36" s="63">
        <v>2026</v>
      </c>
      <c r="I36" s="67">
        <v>52789.188094904777</v>
      </c>
    </row>
    <row r="37" spans="7:22" x14ac:dyDescent="0.3">
      <c r="H37" s="71">
        <v>2027</v>
      </c>
      <c r="I37" s="72">
        <f>I36*(1+$J$47)</f>
        <v>53844.971856802877</v>
      </c>
    </row>
    <row r="38" spans="7:22" x14ac:dyDescent="0.3">
      <c r="H38" s="71">
        <v>2028</v>
      </c>
      <c r="I38" s="72">
        <f t="shared" ref="I38:I39" si="13">I37*(1+$J$47)</f>
        <v>54921.871293938937</v>
      </c>
      <c r="J38" s="73" t="s">
        <v>169</v>
      </c>
      <c r="K38" s="74">
        <f>(I39*(1+$J$47))/($J$48-$J$47)</f>
        <v>1265540.6848442506</v>
      </c>
      <c r="L38" s="62" t="s">
        <v>228</v>
      </c>
    </row>
    <row r="39" spans="7:22" x14ac:dyDescent="0.3">
      <c r="H39" s="71">
        <v>2029</v>
      </c>
      <c r="I39" s="72">
        <f t="shared" si="13"/>
        <v>56020.308719817716</v>
      </c>
    </row>
    <row r="41" spans="7:22" x14ac:dyDescent="0.3">
      <c r="G41" s="62" t="s">
        <v>156</v>
      </c>
      <c r="H41" s="62" t="s">
        <v>170</v>
      </c>
    </row>
    <row r="42" spans="7:22" x14ac:dyDescent="0.3">
      <c r="H42" s="62" t="s">
        <v>171</v>
      </c>
    </row>
    <row r="44" spans="7:22" x14ac:dyDescent="0.3">
      <c r="H44" s="62" t="s">
        <v>172</v>
      </c>
      <c r="M44" s="122" t="s">
        <v>127</v>
      </c>
      <c r="N44" s="123"/>
      <c r="O44" s="123"/>
      <c r="P44" s="123"/>
      <c r="Q44" s="123"/>
      <c r="R44" s="123"/>
      <c r="S44" s="123"/>
      <c r="T44" s="124"/>
      <c r="U44" s="124"/>
    </row>
    <row r="45" spans="7:22" x14ac:dyDescent="0.3">
      <c r="M45" s="125"/>
      <c r="N45" s="125"/>
      <c r="O45" s="125"/>
      <c r="P45" s="125"/>
      <c r="Q45" s="125"/>
      <c r="R45" s="125"/>
      <c r="S45" s="125"/>
      <c r="T45" s="125"/>
      <c r="U45" s="125"/>
    </row>
    <row r="46" spans="7:22" x14ac:dyDescent="0.3">
      <c r="H46" s="75" t="s">
        <v>173</v>
      </c>
      <c r="M46" s="119" t="s">
        <v>250</v>
      </c>
      <c r="N46" s="125"/>
      <c r="O46" s="126" t="s">
        <v>128</v>
      </c>
      <c r="P46" s="127"/>
      <c r="Q46" s="127"/>
      <c r="R46" s="127"/>
      <c r="S46" s="127"/>
      <c r="T46" s="127"/>
      <c r="U46" s="127"/>
    </row>
    <row r="47" spans="7:22" x14ac:dyDescent="0.3">
      <c r="H47" s="75" t="s">
        <v>174</v>
      </c>
      <c r="I47" s="62" t="s">
        <v>128</v>
      </c>
      <c r="J47" s="95">
        <v>0.02</v>
      </c>
      <c r="M47" s="125"/>
      <c r="N47" s="128">
        <f>V6</f>
        <v>63130.698650304272</v>
      </c>
      <c r="O47" s="129">
        <v>4.9999999999999984E-3</v>
      </c>
      <c r="P47" s="129">
        <v>9.9999999999999985E-3</v>
      </c>
      <c r="Q47" s="129">
        <v>1.4999999999999999E-2</v>
      </c>
      <c r="R47" s="129">
        <v>0.02</v>
      </c>
      <c r="S47" s="129">
        <v>2.5000000000000001E-2</v>
      </c>
      <c r="T47" s="129">
        <v>3.0000000000000002E-2</v>
      </c>
      <c r="U47" s="129">
        <v>3.5000000000000003E-2</v>
      </c>
    </row>
    <row r="48" spans="7:22" x14ac:dyDescent="0.3">
      <c r="H48" s="75" t="s">
        <v>175</v>
      </c>
      <c r="I48" s="62" t="s">
        <v>126</v>
      </c>
      <c r="J48" s="89">
        <f>WACC!C18</f>
        <v>6.5151227122537236E-2</v>
      </c>
      <c r="M48" s="146" t="s">
        <v>126</v>
      </c>
      <c r="N48" s="129">
        <v>5.0151227122537244E-2</v>
      </c>
      <c r="O48" s="131">
        <f t="dataTable" ref="O48:U54" dt2D="1" dtr="1" r1="O2" r2="O3"/>
        <v>68583.703996516313</v>
      </c>
      <c r="P48" s="131">
        <v>76853.381099795137</v>
      </c>
      <c r="Q48" s="131">
        <v>87463.474869417652</v>
      </c>
      <c r="R48" s="131">
        <v>101578.26268889476</v>
      </c>
      <c r="S48" s="131">
        <v>121287.84323550726</v>
      </c>
      <c r="T48" s="131">
        <v>150756.7281859699</v>
      </c>
      <c r="U48" s="131">
        <v>199646.68873269201</v>
      </c>
    </row>
    <row r="49" spans="6:21" x14ac:dyDescent="0.3">
      <c r="M49" s="147"/>
      <c r="N49" s="129">
        <v>5.5151227122537241E-2</v>
      </c>
      <c r="O49" s="131">
        <v>60305.604176675697</v>
      </c>
      <c r="P49" s="131">
        <v>66716.793530860392</v>
      </c>
      <c r="Q49" s="131">
        <v>74713.759346529288</v>
      </c>
      <c r="R49" s="131">
        <v>84973.141079961788</v>
      </c>
      <c r="S49" s="131">
        <v>98620.408436780694</v>
      </c>
      <c r="T49" s="131">
        <v>117675.99293308526</v>
      </c>
      <c r="U49" s="131">
        <v>146165.59473248973</v>
      </c>
    </row>
    <row r="50" spans="6:21" x14ac:dyDescent="0.3">
      <c r="M50" s="147"/>
      <c r="N50" s="129">
        <v>6.0151227122537239E-2</v>
      </c>
      <c r="O50" s="131">
        <v>53614.717578097065</v>
      </c>
      <c r="P50" s="131">
        <v>58699.02981869207</v>
      </c>
      <c r="Q50" s="132">
        <v>64899.390163749864</v>
      </c>
      <c r="R50" s="132">
        <v>72632.6902329656</v>
      </c>
      <c r="S50" s="132">
        <v>82553.020357758724</v>
      </c>
      <c r="T50" s="131">
        <v>95748.343758261937</v>
      </c>
      <c r="U50" s="131">
        <v>114171.76067812421</v>
      </c>
    </row>
    <row r="51" spans="6:21" x14ac:dyDescent="0.3">
      <c r="F51" s="63" t="s">
        <v>176</v>
      </c>
      <c r="M51" s="147"/>
      <c r="N51" s="129">
        <v>6.5151227122537236E-2</v>
      </c>
      <c r="O51" s="131">
        <v>48108.718750077438</v>
      </c>
      <c r="P51" s="131">
        <v>52216.505687197139</v>
      </c>
      <c r="Q51" s="132">
        <v>57134.163386401677</v>
      </c>
      <c r="R51" s="133">
        <v>63130.698650304272</v>
      </c>
      <c r="S51" s="132">
        <v>70609.114913726342</v>
      </c>
      <c r="T51" s="131">
        <v>80201.71235312098</v>
      </c>
      <c r="U51" s="131">
        <v>92960.210116205257</v>
      </c>
    </row>
    <row r="52" spans="6:21" x14ac:dyDescent="0.3">
      <c r="M52" s="147"/>
      <c r="N52" s="129">
        <v>7.0151227122537241E-2</v>
      </c>
      <c r="O52" s="131">
        <v>43509.246142716787</v>
      </c>
      <c r="P52" s="131">
        <v>46880.186239847724</v>
      </c>
      <c r="Q52" s="132">
        <v>50853.818849199226</v>
      </c>
      <c r="R52" s="132">
        <v>55610.364068522205</v>
      </c>
      <c r="S52" s="132">
        <v>61409.871385424936</v>
      </c>
      <c r="T52" s="131">
        <v>68641.925125374706</v>
      </c>
      <c r="U52" s="131">
        <v>77917.771276193729</v>
      </c>
    </row>
    <row r="53" spans="6:21" x14ac:dyDescent="0.3">
      <c r="G53" s="62" t="s">
        <v>151</v>
      </c>
      <c r="H53" s="75" t="s">
        <v>177</v>
      </c>
      <c r="M53" s="130"/>
      <c r="N53" s="129">
        <v>7.5151227122537245E-2</v>
      </c>
      <c r="O53" s="131">
        <v>39617.692023254887</v>
      </c>
      <c r="P53" s="131">
        <v>42420.896809844315</v>
      </c>
      <c r="Q53" s="131">
        <v>45682.193985326812</v>
      </c>
      <c r="R53" s="131">
        <v>49526.135817036338</v>
      </c>
      <c r="S53" s="131">
        <v>54126.945104239028</v>
      </c>
      <c r="T53" s="131">
        <v>59736.017493409585</v>
      </c>
      <c r="U53" s="131">
        <v>66729.972840631948</v>
      </c>
    </row>
    <row r="54" spans="6:21" x14ac:dyDescent="0.3">
      <c r="H54" s="76"/>
      <c r="M54" s="130"/>
      <c r="N54" s="129">
        <v>8.015122712253725E-2</v>
      </c>
      <c r="O54" s="131">
        <v>36288.643258002572</v>
      </c>
      <c r="P54" s="131">
        <v>38646.577100492446</v>
      </c>
      <c r="Q54" s="131">
        <v>41359.012358155931</v>
      </c>
      <c r="R54" s="131">
        <v>44514.314742104805</v>
      </c>
      <c r="S54" s="131">
        <v>48232.894705618317</v>
      </c>
      <c r="T54" s="131">
        <v>52683.181500710838</v>
      </c>
      <c r="U54" s="131">
        <v>58108.210937305965</v>
      </c>
    </row>
    <row r="55" spans="6:21" x14ac:dyDescent="0.3">
      <c r="H55" s="76" t="s">
        <v>178</v>
      </c>
    </row>
    <row r="56" spans="6:21" x14ac:dyDescent="0.3">
      <c r="H56" s="77" t="s">
        <v>179</v>
      </c>
      <c r="M56" s="119" t="s">
        <v>248</v>
      </c>
      <c r="N56" s="125"/>
      <c r="O56" s="126" t="s">
        <v>128</v>
      </c>
      <c r="P56" s="127"/>
      <c r="Q56" s="127"/>
      <c r="R56" s="127"/>
      <c r="S56" s="127"/>
      <c r="T56" s="127"/>
      <c r="U56" s="127"/>
    </row>
    <row r="57" spans="6:21" x14ac:dyDescent="0.3">
      <c r="M57" s="125"/>
      <c r="N57" s="128">
        <f>V4</f>
        <v>70812.698650304272</v>
      </c>
      <c r="O57" s="129">
        <v>4.9999999999999984E-3</v>
      </c>
      <c r="P57" s="129">
        <v>9.9999999999999985E-3</v>
      </c>
      <c r="Q57" s="129">
        <v>1.4999999999999999E-2</v>
      </c>
      <c r="R57" s="129">
        <v>0.02</v>
      </c>
      <c r="S57" s="129">
        <v>2.5000000000000001E-2</v>
      </c>
      <c r="T57" s="129">
        <v>3.0000000000000002E-2</v>
      </c>
      <c r="U57" s="129">
        <v>3.5000000000000003E-2</v>
      </c>
    </row>
    <row r="58" spans="6:21" x14ac:dyDescent="0.3">
      <c r="H58" s="75" t="s">
        <v>180</v>
      </c>
      <c r="M58" s="146" t="s">
        <v>126</v>
      </c>
      <c r="N58" s="129">
        <v>5.0151227122537244E-2</v>
      </c>
      <c r="O58" s="131">
        <f t="dataTable" ref="O58:U64" dt2D="1" dtr="1" r1="O2" r2="O3"/>
        <v>70812.698650304272</v>
      </c>
      <c r="P58" s="131">
        <v>70812.698650304272</v>
      </c>
      <c r="Q58" s="131">
        <v>70812.698650304272</v>
      </c>
      <c r="R58" s="131">
        <v>70812.698650304272</v>
      </c>
      <c r="S58" s="131">
        <v>70812.698650304272</v>
      </c>
      <c r="T58" s="131">
        <v>70812.698650304272</v>
      </c>
      <c r="U58" s="131">
        <v>70812.698650304272</v>
      </c>
    </row>
    <row r="59" spans="6:21" x14ac:dyDescent="0.3">
      <c r="H59" s="75" t="s">
        <v>181</v>
      </c>
      <c r="M59" s="147"/>
      <c r="N59" s="129">
        <v>5.5151227122537241E-2</v>
      </c>
      <c r="O59" s="131">
        <v>70812.698650304272</v>
      </c>
      <c r="P59" s="131">
        <v>70812.698650304272</v>
      </c>
      <c r="Q59" s="131">
        <v>70812.698650304272</v>
      </c>
      <c r="R59" s="131">
        <v>70812.698650304272</v>
      </c>
      <c r="S59" s="131">
        <v>70812.698650304272</v>
      </c>
      <c r="T59" s="131">
        <v>70812.698650304272</v>
      </c>
      <c r="U59" s="131">
        <v>70812.698650304272</v>
      </c>
    </row>
    <row r="60" spans="6:21" x14ac:dyDescent="0.3">
      <c r="H60" s="75" t="s">
        <v>182</v>
      </c>
      <c r="M60" s="147"/>
      <c r="N60" s="129">
        <v>6.0151227122537239E-2</v>
      </c>
      <c r="O60" s="131">
        <v>70812.698650304272</v>
      </c>
      <c r="P60" s="131">
        <v>70812.698650304272</v>
      </c>
      <c r="Q60" s="132">
        <v>70812.698650304272</v>
      </c>
      <c r="R60" s="132">
        <v>70812.698650304272</v>
      </c>
      <c r="S60" s="132">
        <v>70812.698650304272</v>
      </c>
      <c r="T60" s="131">
        <v>70812.698650304272</v>
      </c>
      <c r="U60" s="131">
        <v>70812.698650304272</v>
      </c>
    </row>
    <row r="61" spans="6:21" x14ac:dyDescent="0.3">
      <c r="G61" s="62" t="s">
        <v>183</v>
      </c>
      <c r="H61" s="75" t="s">
        <v>81</v>
      </c>
      <c r="I61" s="62" t="s">
        <v>150</v>
      </c>
      <c r="J61" s="62" t="s">
        <v>184</v>
      </c>
      <c r="M61" s="147"/>
      <c r="N61" s="129">
        <v>6.5151227122537236E-2</v>
      </c>
      <c r="O61" s="131">
        <v>70812.698650304272</v>
      </c>
      <c r="P61" s="131">
        <v>70812.698650304272</v>
      </c>
      <c r="Q61" s="132">
        <v>70812.698650304272</v>
      </c>
      <c r="R61" s="133">
        <v>70812.698650304272</v>
      </c>
      <c r="S61" s="132">
        <v>70812.698650304272</v>
      </c>
      <c r="T61" s="131">
        <v>70812.698650304272</v>
      </c>
      <c r="U61" s="131">
        <v>70812.698650304272</v>
      </c>
    </row>
    <row r="62" spans="6:21" x14ac:dyDescent="0.3">
      <c r="G62" s="62">
        <v>1</v>
      </c>
      <c r="H62" s="62">
        <v>2024</v>
      </c>
      <c r="I62" s="78">
        <v>46092.639139006213</v>
      </c>
      <c r="J62" s="78">
        <f>I62/(1+$J$48)^G62</f>
        <v>43273.328674204888</v>
      </c>
      <c r="M62" s="147"/>
      <c r="N62" s="129">
        <v>7.0151227122537241E-2</v>
      </c>
      <c r="O62" s="131">
        <v>70812.698650304272</v>
      </c>
      <c r="P62" s="131">
        <v>70812.698650304272</v>
      </c>
      <c r="Q62" s="132">
        <v>70812.698650304272</v>
      </c>
      <c r="R62" s="132">
        <v>70812.698650304272</v>
      </c>
      <c r="S62" s="132">
        <v>70812.698650304272</v>
      </c>
      <c r="T62" s="131">
        <v>70812.698650304272</v>
      </c>
      <c r="U62" s="131">
        <v>70812.698650304272</v>
      </c>
    </row>
    <row r="63" spans="6:21" x14ac:dyDescent="0.3">
      <c r="G63" s="62">
        <f>G62+1</f>
        <v>2</v>
      </c>
      <c r="H63" s="62">
        <v>2025</v>
      </c>
      <c r="I63" s="78">
        <v>49327.406148099544</v>
      </c>
      <c r="J63" s="78">
        <f t="shared" ref="J63:J64" si="14">I63/(1+$J$48)^G63</f>
        <v>43477.617240440282</v>
      </c>
      <c r="M63" s="130"/>
      <c r="N63" s="129">
        <v>7.5151227122537245E-2</v>
      </c>
      <c r="O63" s="131">
        <v>70812.698650304272</v>
      </c>
      <c r="P63" s="131">
        <v>70812.698650304272</v>
      </c>
      <c r="Q63" s="131">
        <v>70812.698650304272</v>
      </c>
      <c r="R63" s="131">
        <v>70812.698650304272</v>
      </c>
      <c r="S63" s="131">
        <v>70812.698650304272</v>
      </c>
      <c r="T63" s="131">
        <v>70812.698650304272</v>
      </c>
      <c r="U63" s="131">
        <v>70812.698650304272</v>
      </c>
    </row>
    <row r="64" spans="6:21" x14ac:dyDescent="0.3">
      <c r="G64" s="62">
        <f t="shared" ref="G64" si="15">G63+1</f>
        <v>3</v>
      </c>
      <c r="H64" s="62">
        <v>2026</v>
      </c>
      <c r="I64" s="78">
        <v>52789.188094904777</v>
      </c>
      <c r="J64" s="78">
        <f t="shared" si="14"/>
        <v>43682.87023024958</v>
      </c>
      <c r="M64" s="130"/>
      <c r="N64" s="129">
        <v>8.015122712253725E-2</v>
      </c>
      <c r="O64" s="131">
        <v>70812.698650304272</v>
      </c>
      <c r="P64" s="131">
        <v>70812.698650304272</v>
      </c>
      <c r="Q64" s="131">
        <v>70812.698650304272</v>
      </c>
      <c r="R64" s="131">
        <v>70812.698650304272</v>
      </c>
      <c r="S64" s="131">
        <v>70812.698650304272</v>
      </c>
      <c r="T64" s="131">
        <v>70812.698650304272</v>
      </c>
      <c r="U64" s="131">
        <v>70812.698650304272</v>
      </c>
    </row>
    <row r="66" spans="7:17" x14ac:dyDescent="0.3">
      <c r="H66" s="73" t="s">
        <v>169</v>
      </c>
      <c r="I66" s="74">
        <f>(I64*(1+0.02))/(6.52%-0.02)</f>
        <v>1191260.4393097984</v>
      </c>
      <c r="K66" s="79" t="s">
        <v>185</v>
      </c>
      <c r="L66" s="80">
        <f>I66 + SUM(J62:J64)</f>
        <v>1321694.2554546932</v>
      </c>
    </row>
    <row r="67" spans="7:17" x14ac:dyDescent="0.3">
      <c r="G67" s="62" t="s">
        <v>186</v>
      </c>
      <c r="H67" s="62" t="s">
        <v>187</v>
      </c>
    </row>
    <row r="69" spans="7:17" x14ac:dyDescent="0.3">
      <c r="H69" s="62" t="s">
        <v>188</v>
      </c>
    </row>
    <row r="71" spans="7:17" x14ac:dyDescent="0.3">
      <c r="H71" s="62" t="s">
        <v>189</v>
      </c>
    </row>
    <row r="73" spans="7:17" x14ac:dyDescent="0.3">
      <c r="G73" s="62" t="s">
        <v>190</v>
      </c>
      <c r="H73" s="62" t="s">
        <v>191</v>
      </c>
    </row>
    <row r="76" spans="7:17" x14ac:dyDescent="0.3">
      <c r="G76" s="62" t="s">
        <v>192</v>
      </c>
      <c r="H76" s="75" t="s">
        <v>193</v>
      </c>
      <c r="I76" s="62" t="s">
        <v>194</v>
      </c>
    </row>
    <row r="77" spans="7:17" x14ac:dyDescent="0.3">
      <c r="H77" s="62" t="s">
        <v>195</v>
      </c>
      <c r="L77" s="62" t="s">
        <v>81</v>
      </c>
      <c r="M77" s="62" t="s">
        <v>196</v>
      </c>
      <c r="N77" s="99" t="s">
        <v>197</v>
      </c>
      <c r="O77" s="99" t="s">
        <v>198</v>
      </c>
      <c r="P77" s="99" t="s">
        <v>199</v>
      </c>
      <c r="Q77" s="99" t="s">
        <v>200</v>
      </c>
    </row>
    <row r="78" spans="7:17" x14ac:dyDescent="0.3">
      <c r="L78" s="62">
        <v>2023</v>
      </c>
      <c r="M78" s="81">
        <v>14347</v>
      </c>
      <c r="N78" s="81">
        <v>2045</v>
      </c>
      <c r="O78" s="99">
        <f>M78+N78</f>
        <v>16392</v>
      </c>
      <c r="P78" s="99">
        <v>8710</v>
      </c>
      <c r="Q78" s="99">
        <f>O78-P78</f>
        <v>7682</v>
      </c>
    </row>
    <row r="79" spans="7:17" x14ac:dyDescent="0.3">
      <c r="H79" s="62" t="s">
        <v>201</v>
      </c>
    </row>
    <row r="81" spans="6:13" x14ac:dyDescent="0.3">
      <c r="H81" s="82" t="s">
        <v>129</v>
      </c>
      <c r="I81" s="83">
        <f>L66 - Q78</f>
        <v>1314012.2554546932</v>
      </c>
    </row>
    <row r="86" spans="6:13" x14ac:dyDescent="0.3">
      <c r="F86" s="63" t="s">
        <v>202</v>
      </c>
    </row>
    <row r="88" spans="6:13" x14ac:dyDescent="0.3">
      <c r="G88" s="62" t="s">
        <v>81</v>
      </c>
      <c r="H88" s="84" t="s">
        <v>203</v>
      </c>
      <c r="I88" s="84" t="s">
        <v>204</v>
      </c>
      <c r="J88" s="84" t="s">
        <v>205</v>
      </c>
      <c r="K88" s="84" t="s">
        <v>206</v>
      </c>
      <c r="L88" s="84" t="s">
        <v>207</v>
      </c>
    </row>
    <row r="89" spans="6:13" ht="15.6" x14ac:dyDescent="0.3">
      <c r="G89" s="62">
        <v>2021</v>
      </c>
      <c r="H89" s="7">
        <v>37761</v>
      </c>
      <c r="I89" s="62">
        <v>12255</v>
      </c>
      <c r="J89" s="7">
        <v>26920</v>
      </c>
      <c r="K89" s="85">
        <f>(J89/H89)*100</f>
        <v>71.290484891819602</v>
      </c>
      <c r="L89" s="62">
        <v>5692</v>
      </c>
    </row>
    <row r="90" spans="6:13" ht="15.6" x14ac:dyDescent="0.3">
      <c r="G90" s="62">
        <v>2022</v>
      </c>
      <c r="H90" s="7">
        <v>42997</v>
      </c>
      <c r="I90" s="62">
        <v>13695</v>
      </c>
      <c r="J90" s="7">
        <v>31694</v>
      </c>
      <c r="K90" s="85">
        <f t="shared" ref="K90:K94" si="16">(J90/H90)*100</f>
        <v>73.712119450194209</v>
      </c>
      <c r="L90" s="62">
        <v>6706</v>
      </c>
    </row>
    <row r="91" spans="6:13" ht="15.6" x14ac:dyDescent="0.3">
      <c r="G91" s="62">
        <v>2023</v>
      </c>
      <c r="H91" s="7">
        <v>43070</v>
      </c>
      <c r="I91" s="62">
        <v>14236</v>
      </c>
      <c r="J91" s="7">
        <v>32208</v>
      </c>
      <c r="K91" s="85">
        <f t="shared" si="16"/>
        <v>74.780589737636404</v>
      </c>
      <c r="L91" s="62">
        <v>6728</v>
      </c>
    </row>
    <row r="92" spans="6:13" x14ac:dyDescent="0.3">
      <c r="G92" s="62">
        <v>2024</v>
      </c>
      <c r="H92" s="67">
        <v>46092.639139006213</v>
      </c>
      <c r="I92" s="78">
        <f>H92*32.45%</f>
        <v>14957.061400607516</v>
      </c>
      <c r="J92" s="78">
        <f>H92*73.26%</f>
        <v>33767.46743323595</v>
      </c>
      <c r="K92" s="85">
        <f t="shared" si="16"/>
        <v>73.259999999999991</v>
      </c>
      <c r="L92" s="78">
        <f>H92*15.43%</f>
        <v>7112.0942191486583</v>
      </c>
    </row>
    <row r="93" spans="6:13" x14ac:dyDescent="0.3">
      <c r="G93" s="62">
        <v>2025</v>
      </c>
      <c r="H93" s="67">
        <v>49327.406148099544</v>
      </c>
      <c r="I93" s="78">
        <f>H93*32.45%</f>
        <v>16006.743295058302</v>
      </c>
      <c r="J93" s="78">
        <f t="shared" ref="J93:J94" si="17">H93*73.26%</f>
        <v>36137.257744097726</v>
      </c>
      <c r="K93" s="85">
        <f t="shared" si="16"/>
        <v>73.260000000000005</v>
      </c>
      <c r="L93" s="78">
        <f t="shared" ref="L93:L94" si="18">H93*15.43%</f>
        <v>7611.2187686517591</v>
      </c>
    </row>
    <row r="94" spans="6:13" x14ac:dyDescent="0.3">
      <c r="G94" s="62">
        <v>2026</v>
      </c>
      <c r="H94" s="67">
        <v>52789.188094904799</v>
      </c>
      <c r="I94" s="78">
        <f>H94*32.45%</f>
        <v>17130.091536796608</v>
      </c>
      <c r="J94" s="78">
        <f t="shared" si="17"/>
        <v>38673.359198327256</v>
      </c>
      <c r="K94" s="85">
        <f t="shared" si="16"/>
        <v>73.260000000000005</v>
      </c>
      <c r="L94" s="78">
        <f t="shared" si="18"/>
        <v>8145.3717230438106</v>
      </c>
    </row>
    <row r="96" spans="6:13" x14ac:dyDescent="0.3">
      <c r="I96" s="62" t="s">
        <v>81</v>
      </c>
      <c r="K96" s="62" t="s">
        <v>81</v>
      </c>
      <c r="M96" s="62" t="s">
        <v>81</v>
      </c>
    </row>
    <row r="97" spans="6:14" x14ac:dyDescent="0.3">
      <c r="H97" s="62" t="s">
        <v>208</v>
      </c>
      <c r="I97" s="62">
        <v>2021</v>
      </c>
      <c r="J97" s="85">
        <f>(I89/H89)*100</f>
        <v>32.454119329466913</v>
      </c>
      <c r="K97" s="62">
        <v>2022</v>
      </c>
      <c r="L97" s="85">
        <f>(I90/H90)*100</f>
        <v>31.851059376235551</v>
      </c>
      <c r="M97" s="62">
        <v>2023</v>
      </c>
      <c r="N97" s="116">
        <f>(I91/H91)*100</f>
        <v>33.053169259345253</v>
      </c>
    </row>
    <row r="98" spans="6:14" x14ac:dyDescent="0.3">
      <c r="H98" s="62" t="s">
        <v>209</v>
      </c>
      <c r="I98" s="62">
        <v>2021</v>
      </c>
      <c r="J98" s="62">
        <v>71.290000000000006</v>
      </c>
      <c r="K98" s="62">
        <v>2022</v>
      </c>
      <c r="L98" s="85">
        <f>(J90/H90)*100</f>
        <v>73.712119450194209</v>
      </c>
      <c r="M98" s="62">
        <v>2023</v>
      </c>
      <c r="N98" s="116">
        <f>(J91/H91)*100</f>
        <v>74.780589737636404</v>
      </c>
    </row>
    <row r="99" spans="6:14" x14ac:dyDescent="0.3">
      <c r="H99" s="62" t="s">
        <v>210</v>
      </c>
      <c r="I99" s="62">
        <v>2021</v>
      </c>
      <c r="J99" s="85">
        <f>(L89/H89)*100</f>
        <v>15.073753343396627</v>
      </c>
      <c r="K99" s="62">
        <v>2022</v>
      </c>
      <c r="L99" s="85">
        <f>(L90/H90)*100</f>
        <v>15.59643696071819</v>
      </c>
      <c r="M99" s="62">
        <v>2023</v>
      </c>
      <c r="N99" s="116">
        <f>(L91/H91)*100</f>
        <v>15.62108195960065</v>
      </c>
    </row>
    <row r="101" spans="6:14" x14ac:dyDescent="0.3">
      <c r="H101" s="84" t="s">
        <v>211</v>
      </c>
      <c r="I101" s="86">
        <f>(J97+L97+N97)/3</f>
        <v>32.452782655015902</v>
      </c>
      <c r="J101" s="62" t="s">
        <v>212</v>
      </c>
    </row>
    <row r="102" spans="6:14" x14ac:dyDescent="0.3">
      <c r="H102" s="84" t="s">
        <v>213</v>
      </c>
      <c r="I102" s="86">
        <f>(J98+L98+N98)/3</f>
        <v>73.260903062610211</v>
      </c>
      <c r="J102" s="62" t="s">
        <v>212</v>
      </c>
    </row>
    <row r="103" spans="6:14" x14ac:dyDescent="0.3">
      <c r="H103" s="84" t="s">
        <v>214</v>
      </c>
      <c r="I103" s="86">
        <f>(J99+L99+N99)/3</f>
        <v>15.430424087905157</v>
      </c>
      <c r="J103" s="62" t="s">
        <v>212</v>
      </c>
    </row>
    <row r="107" spans="6:14" x14ac:dyDescent="0.3">
      <c r="K107" s="64" t="s">
        <v>215</v>
      </c>
    </row>
    <row r="108" spans="6:14" x14ac:dyDescent="0.3">
      <c r="F108" s="63" t="s">
        <v>216</v>
      </c>
      <c r="K108" s="87"/>
    </row>
    <row r="109" spans="6:14" x14ac:dyDescent="0.3">
      <c r="G109" s="62" t="s">
        <v>81</v>
      </c>
      <c r="H109" s="62" t="s">
        <v>217</v>
      </c>
      <c r="I109" s="62" t="s">
        <v>218</v>
      </c>
      <c r="J109" s="62" t="s">
        <v>219</v>
      </c>
      <c r="K109" s="62" t="s">
        <v>220</v>
      </c>
      <c r="L109" s="62" t="s">
        <v>221</v>
      </c>
    </row>
    <row r="110" spans="6:14" ht="15.6" x14ac:dyDescent="0.3">
      <c r="G110" s="62">
        <v>2021</v>
      </c>
      <c r="H110" s="7">
        <v>37761</v>
      </c>
      <c r="K110" s="88">
        <v>0.05</v>
      </c>
    </row>
    <row r="111" spans="6:14" ht="15.6" x14ac:dyDescent="0.3">
      <c r="G111" s="62">
        <v>2022</v>
      </c>
      <c r="H111" s="7">
        <v>42997</v>
      </c>
      <c r="J111" s="66">
        <v>0.13866158205555998</v>
      </c>
      <c r="K111" s="88">
        <v>0.05</v>
      </c>
      <c r="L111" s="89">
        <f>J111-K111</f>
        <v>8.8661582055559976E-2</v>
      </c>
    </row>
    <row r="112" spans="6:14" ht="15.6" x14ac:dyDescent="0.3">
      <c r="G112" s="62">
        <v>2023</v>
      </c>
      <c r="H112" s="7">
        <v>43070</v>
      </c>
      <c r="J112" s="66">
        <v>1.697792869269949E-3</v>
      </c>
      <c r="K112" s="88">
        <v>0.05</v>
      </c>
      <c r="L112" s="89">
        <f t="shared" ref="L112:L115" si="19">J112-K112</f>
        <v>-4.8302207130730052E-2</v>
      </c>
    </row>
    <row r="113" spans="6:13" ht="15.6" x14ac:dyDescent="0.3">
      <c r="G113" s="62">
        <v>2024</v>
      </c>
      <c r="I113" s="67">
        <v>46092.639139006213</v>
      </c>
      <c r="J113" s="66">
        <v>7.0179687462414958E-2</v>
      </c>
      <c r="K113" s="88">
        <v>0.03</v>
      </c>
      <c r="L113" s="89">
        <f t="shared" si="19"/>
        <v>4.0179687462414959E-2</v>
      </c>
    </row>
    <row r="114" spans="6:13" ht="15.6" x14ac:dyDescent="0.3">
      <c r="G114" s="62">
        <v>2025</v>
      </c>
      <c r="I114" s="67">
        <v>49327.406148099544</v>
      </c>
      <c r="J114" s="66">
        <v>7.0179687462414958E-2</v>
      </c>
      <c r="K114" s="88">
        <v>0.04</v>
      </c>
      <c r="L114" s="89">
        <f t="shared" si="19"/>
        <v>3.0179687462414957E-2</v>
      </c>
    </row>
    <row r="115" spans="6:13" ht="15.6" x14ac:dyDescent="0.3">
      <c r="G115" s="62">
        <v>2026</v>
      </c>
      <c r="I115" s="67">
        <v>52789.188094904799</v>
      </c>
      <c r="J115" s="66">
        <v>7.0179687462414958E-2</v>
      </c>
      <c r="K115" s="90">
        <v>3.5999999999999997E-2</v>
      </c>
      <c r="L115" s="89">
        <f t="shared" si="19"/>
        <v>3.4179687462414961E-2</v>
      </c>
    </row>
    <row r="119" spans="6:13" x14ac:dyDescent="0.3">
      <c r="F119" s="63" t="s">
        <v>222</v>
      </c>
    </row>
    <row r="121" spans="6:13" x14ac:dyDescent="0.3">
      <c r="G121" s="62" t="s">
        <v>81</v>
      </c>
      <c r="H121" s="62" t="s">
        <v>223</v>
      </c>
      <c r="I121" s="62" t="s">
        <v>219</v>
      </c>
      <c r="J121" s="62" t="s">
        <v>224</v>
      </c>
      <c r="K121" s="62" t="s">
        <v>225</v>
      </c>
      <c r="L121" s="62" t="s">
        <v>226</v>
      </c>
      <c r="M121" s="62" t="s">
        <v>227</v>
      </c>
    </row>
    <row r="122" spans="6:13" ht="15.6" x14ac:dyDescent="0.3">
      <c r="G122" s="62">
        <v>2021</v>
      </c>
      <c r="H122" s="7">
        <v>37761</v>
      </c>
      <c r="J122" s="88">
        <v>0.75</v>
      </c>
      <c r="K122" s="91">
        <f>H122*J122</f>
        <v>28320.75</v>
      </c>
      <c r="L122" s="88">
        <v>0.25</v>
      </c>
      <c r="M122" s="78">
        <f>H122*L122</f>
        <v>9440.25</v>
      </c>
    </row>
    <row r="123" spans="6:13" ht="15.6" x14ac:dyDescent="0.3">
      <c r="G123" s="62">
        <v>2022</v>
      </c>
      <c r="H123" s="7">
        <v>42997</v>
      </c>
      <c r="I123" s="66">
        <v>0.13866158205555998</v>
      </c>
      <c r="J123" s="88">
        <v>0.75</v>
      </c>
      <c r="K123" s="91">
        <f t="shared" ref="K123:K127" si="20">H123*J123</f>
        <v>32247.75</v>
      </c>
      <c r="L123" s="88">
        <v>0.25</v>
      </c>
      <c r="M123" s="78">
        <f t="shared" ref="M123:M127" si="21">H123*L123</f>
        <v>10749.25</v>
      </c>
    </row>
    <row r="124" spans="6:13" ht="15.6" x14ac:dyDescent="0.3">
      <c r="G124" s="62">
        <v>2023</v>
      </c>
      <c r="H124" s="7">
        <v>43070</v>
      </c>
      <c r="I124" s="66">
        <v>1.697792869269949E-3</v>
      </c>
      <c r="J124" s="88">
        <v>0.75</v>
      </c>
      <c r="K124" s="91">
        <f t="shared" si="20"/>
        <v>32302.5</v>
      </c>
      <c r="L124" s="88">
        <v>0.25</v>
      </c>
      <c r="M124" s="78">
        <f t="shared" si="21"/>
        <v>10767.5</v>
      </c>
    </row>
    <row r="125" spans="6:13" ht="15.6" x14ac:dyDescent="0.3">
      <c r="G125" s="62">
        <v>2024</v>
      </c>
      <c r="H125" s="67">
        <v>46092.639139006213</v>
      </c>
      <c r="I125" s="66">
        <v>7.0179687462414958E-2</v>
      </c>
      <c r="J125" s="88">
        <v>0.75</v>
      </c>
      <c r="K125" s="91">
        <f t="shared" si="20"/>
        <v>34569.479354254661</v>
      </c>
      <c r="L125" s="88">
        <v>0.25</v>
      </c>
      <c r="M125" s="78">
        <f t="shared" si="21"/>
        <v>11523.159784751553</v>
      </c>
    </row>
    <row r="126" spans="6:13" ht="15.6" x14ac:dyDescent="0.3">
      <c r="G126" s="62">
        <v>2025</v>
      </c>
      <c r="H126" s="67">
        <v>49327.406148099544</v>
      </c>
      <c r="I126" s="66">
        <v>7.0179687462414958E-2</v>
      </c>
      <c r="J126" s="88">
        <v>0.75</v>
      </c>
      <c r="K126" s="91">
        <f t="shared" si="20"/>
        <v>36995.554611074658</v>
      </c>
      <c r="L126" s="88">
        <v>0.25</v>
      </c>
      <c r="M126" s="78">
        <f t="shared" si="21"/>
        <v>12331.851537024886</v>
      </c>
    </row>
    <row r="127" spans="6:13" ht="15.6" x14ac:dyDescent="0.3">
      <c r="G127" s="62">
        <v>2026</v>
      </c>
      <c r="H127" s="67">
        <v>52789.188094904799</v>
      </c>
      <c r="I127" s="66">
        <v>7.0179687462414958E-2</v>
      </c>
      <c r="J127" s="88">
        <v>0.75</v>
      </c>
      <c r="K127" s="91">
        <f t="shared" si="20"/>
        <v>39591.891071178601</v>
      </c>
      <c r="L127" s="88">
        <v>0.25</v>
      </c>
      <c r="M127" s="78">
        <f t="shared" si="21"/>
        <v>13197.2970237262</v>
      </c>
    </row>
  </sheetData>
  <mergeCells count="2">
    <mergeCell ref="M48:M52"/>
    <mergeCell ref="M58:M62"/>
  </mergeCells>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63F72-3A9F-4689-8305-40A4F49BB4DA}">
  <dimension ref="B2:I3"/>
  <sheetViews>
    <sheetView zoomScale="63" workbookViewId="0">
      <selection activeCell="M12" sqref="M12"/>
    </sheetView>
  </sheetViews>
  <sheetFormatPr baseColWidth="10" defaultRowHeight="15.6" x14ac:dyDescent="0.3"/>
  <sheetData>
    <row r="2" spans="2:9" x14ac:dyDescent="0.3">
      <c r="B2" s="134" t="s">
        <v>139</v>
      </c>
      <c r="C2" s="135" t="s">
        <v>251</v>
      </c>
      <c r="D2" s="135" t="s">
        <v>252</v>
      </c>
      <c r="E2" s="135" t="s">
        <v>253</v>
      </c>
      <c r="F2" s="136" t="s">
        <v>254</v>
      </c>
      <c r="G2" s="136" t="s">
        <v>255</v>
      </c>
      <c r="H2" s="136" t="s">
        <v>256</v>
      </c>
      <c r="I2" s="136" t="s">
        <v>257</v>
      </c>
    </row>
    <row r="3" spans="2:9" x14ac:dyDescent="0.3">
      <c r="B3" s="137" t="s">
        <v>147</v>
      </c>
      <c r="C3" s="138">
        <v>37761</v>
      </c>
      <c r="D3" s="138">
        <v>42997</v>
      </c>
      <c r="E3" s="138">
        <v>43070</v>
      </c>
      <c r="F3" s="139">
        <v>45774</v>
      </c>
      <c r="G3" s="139">
        <v>48648</v>
      </c>
      <c r="H3" s="139">
        <v>51703</v>
      </c>
      <c r="I3" s="139">
        <v>52737</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78124-768B-49EB-BC0B-5C3BD850B09A}">
  <dimension ref="A1"/>
  <sheetViews>
    <sheetView workbookViewId="0"/>
  </sheetViews>
  <sheetFormatPr baseColWidth="10" defaultRowHeight="15.6"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12</vt:i4>
      </vt:variant>
    </vt:vector>
  </HeadingPairs>
  <TitlesOfParts>
    <vt:vector size="12" baseType="lpstr">
      <vt:lpstr>CR</vt:lpstr>
      <vt:lpstr>Bilan</vt:lpstr>
      <vt:lpstr>Ratio</vt:lpstr>
      <vt:lpstr>Liquidity</vt:lpstr>
      <vt:lpstr>Cout dette</vt:lpstr>
      <vt:lpstr>Structure dette</vt:lpstr>
      <vt:lpstr>WACC</vt:lpstr>
      <vt:lpstr>3-year average annual return</vt:lpstr>
      <vt:lpstr>ProfitRatios and OpReturns</vt:lpstr>
      <vt:lpstr>DCF &amp; Sentivity</vt:lpstr>
      <vt:lpstr>Feuil1</vt:lpstr>
      <vt:lpstr>Feuil2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RINAUDO-VALETTE Romain</dc:creator>
  <cp:keywords/>
  <dc:description/>
  <cp:lastModifiedBy>ZOCLI Lydie pudie</cp:lastModifiedBy>
  <cp:revision/>
  <dcterms:created xsi:type="dcterms:W3CDTF">2024-12-23T09:05:28Z</dcterms:created>
  <dcterms:modified xsi:type="dcterms:W3CDTF">2026-02-12T10:29:28Z</dcterms:modified>
  <cp:category/>
  <cp:contentStatus/>
</cp:coreProperties>
</file>